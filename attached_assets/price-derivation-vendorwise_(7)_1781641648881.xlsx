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250043_Q2'26" state="visible" r:id="rId5"/>
    <sheet sheetId="3" name="250043_Q3'26" state="visible" r:id="rId6"/>
    <sheet sheetId="4" name="250044_Q2'26" state="visible" r:id="rId7"/>
    <sheet sheetId="5" name="250044_Q3'26" state="visible" r:id="rId8"/>
    <sheet sheetId="6" name="250050_Q2'26" state="visible" r:id="rId9"/>
    <sheet sheetId="7" name="250050_Q3'26" state="visible" r:id="rId10"/>
    <sheet sheetId="8" name="250197_Q2'26" state="visible" r:id="rId11"/>
    <sheet sheetId="9" name="250197_Q3'26" state="visible" r:id="rId12"/>
    <sheet sheetId="10" name="250274_Q2'26" state="visible" r:id="rId13"/>
    <sheet sheetId="11" name="250274_Q3'26" state="visible" r:id="rId14"/>
    <sheet sheetId="12" name="250482_Q2'26" state="visible" r:id="rId15"/>
    <sheet sheetId="13" name="250482_Q3'26" state="visible" r:id="rId16"/>
  </sheets>
  <calcPr calcId="171027"/>
</workbook>
</file>

<file path=xl/sharedStrings.xml><?xml version="1.0" encoding="utf-8"?>
<sst xmlns="http://schemas.openxmlformats.org/spreadsheetml/2006/main" count="5233" uniqueCount="710">
  <si>
    <t>PRICE DERIVATION — Vendor-wise, Quarter-wise</t>
  </si>
  <si>
    <t>Generated</t>
  </si>
  <si>
    <t>6/15/2026, 9:20:30 PM</t>
  </si>
  <si>
    <t>Vendors</t>
  </si>
  <si>
    <t>Parts</t>
  </si>
  <si>
    <t>Quarter range</t>
  </si>
  <si>
    <t>Q1'26 → Q4'27</t>
  </si>
  <si>
    <t>Note</t>
  </si>
  <si>
    <t>One sheet per Vendor × target Quarter. All price-derivation columns use live Excel formulas. Inward = GRN Qty entered in app.</t>
  </si>
  <si>
    <t>Vendor 250043  •  Q1'26  →  Q2'26  •  RM Price Derivation</t>
  </si>
  <si>
    <t>Total Quarterly Impact (₹ Lakhs)</t>
  </si>
  <si>
    <t>S.No</t>
  </si>
  <si>
    <t>CC</t>
  </si>
  <si>
    <t>Vendor</t>
  </si>
  <si>
    <t>Part #</t>
  </si>
  <si>
    <t>Description</t>
  </si>
  <si>
    <t>Cast Wt</t>
  </si>
  <si>
    <t>Mach Wt</t>
  </si>
  <si>
    <t>Plant</t>
  </si>
  <si>
    <t>Alloy</t>
  </si>
  <si>
    <t>PO Num</t>
  </si>
  <si>
    <t>Melt Loss</t>
  </si>
  <si>
    <t>Old Price (Q1'26)</t>
  </si>
  <si>
    <t>Q1'26 RM</t>
  </si>
  <si>
    <t>Q2'26 RM</t>
  </si>
  <si>
    <t>RM Impact</t>
  </si>
  <si>
    <t>Q1'26 Scrap</t>
  </si>
  <si>
    <t>Q1'26 SCM14</t>
  </si>
  <si>
    <t>Q2'26 SCM14</t>
  </si>
  <si>
    <t>New Scrap</t>
  </si>
  <si>
    <t>Scrap Ded</t>
  </si>
  <si>
    <t>New Price (Q2'26)</t>
  </si>
  <si>
    <t>GRN Qty</t>
  </si>
  <si>
    <t>Impact (₹L)</t>
  </si>
  <si>
    <t>250043</t>
  </si>
  <si>
    <t>9347140574</t>
  </si>
  <si>
    <t>Body Machined</t>
  </si>
  <si>
    <t>1030</t>
  </si>
  <si>
    <t>SCM 14</t>
  </si>
  <si>
    <t>1030304506</t>
  </si>
  <si>
    <t>9253020084</t>
  </si>
  <si>
    <t>Flange</t>
  </si>
  <si>
    <t>1030304825</t>
  </si>
  <si>
    <t>9122186524</t>
  </si>
  <si>
    <t>Manifold</t>
  </si>
  <si>
    <t>1095</t>
  </si>
  <si>
    <t>JED-029M2</t>
  </si>
  <si>
    <t>1040301920</t>
  </si>
  <si>
    <t>9122186544</t>
  </si>
  <si>
    <t>Cover</t>
  </si>
  <si>
    <t>1040301921</t>
  </si>
  <si>
    <t>9122186534</t>
  </si>
  <si>
    <t>1040301922</t>
  </si>
  <si>
    <t>9253806054</t>
  </si>
  <si>
    <t>1040</t>
  </si>
  <si>
    <t>1040302821</t>
  </si>
  <si>
    <t>9122186554</t>
  </si>
  <si>
    <t>1040302969</t>
  </si>
  <si>
    <t>9122186564</t>
  </si>
  <si>
    <t>1040302970</t>
  </si>
  <si>
    <t>1050</t>
  </si>
  <si>
    <t>1050301074</t>
  </si>
  <si>
    <t>8930000724</t>
  </si>
  <si>
    <t>Tee Fitting</t>
  </si>
  <si>
    <t>1050301118</t>
  </si>
  <si>
    <t>8930000694</t>
  </si>
  <si>
    <t>Straight Fitting</t>
  </si>
  <si>
    <t>1050301131</t>
  </si>
  <si>
    <t>100635151</t>
  </si>
  <si>
    <t>LOWER BODY (Machined)</t>
  </si>
  <si>
    <t>1080</t>
  </si>
  <si>
    <t>ADC 12</t>
  </si>
  <si>
    <t>1080302689</t>
  </si>
  <si>
    <t>1080302690</t>
  </si>
  <si>
    <t>1080302691</t>
  </si>
  <si>
    <t>9659051004</t>
  </si>
  <si>
    <t>Housing machining</t>
  </si>
  <si>
    <t>1080304578</t>
  </si>
  <si>
    <t>4709080374</t>
  </si>
  <si>
    <t>Cylinder</t>
  </si>
  <si>
    <t>1080304656</t>
  </si>
  <si>
    <t>4324700016</t>
  </si>
  <si>
    <t>Body</t>
  </si>
  <si>
    <t>1020</t>
  </si>
  <si>
    <t>2600012659</t>
  </si>
  <si>
    <t>as cast</t>
  </si>
  <si>
    <t>9329060044</t>
  </si>
  <si>
    <t>Air dryer Body</t>
  </si>
  <si>
    <t>2600012660</t>
  </si>
  <si>
    <t>9329060034</t>
  </si>
  <si>
    <t>2600012661</t>
  </si>
  <si>
    <t>9329060054</t>
  </si>
  <si>
    <t>AIR Dryer Body M/Cing</t>
  </si>
  <si>
    <t>2600012662</t>
  </si>
  <si>
    <t>9329060036</t>
  </si>
  <si>
    <t>AIR DRYER BODY</t>
  </si>
  <si>
    <t>2600012663</t>
  </si>
  <si>
    <t>9329055506</t>
  </si>
  <si>
    <t>2600012664</t>
  </si>
  <si>
    <t>9329060016</t>
  </si>
  <si>
    <t>AIR Drayer body</t>
  </si>
  <si>
    <t>2600012665</t>
  </si>
  <si>
    <t>4324700006</t>
  </si>
  <si>
    <t>DDU BODY</t>
  </si>
  <si>
    <t>2600012666</t>
  </si>
  <si>
    <t>9329060166</t>
  </si>
  <si>
    <t>2600012667</t>
  </si>
  <si>
    <t>100347850</t>
  </si>
  <si>
    <t>Air Dryer Body  Casting (voss)</t>
  </si>
  <si>
    <t>2600012668</t>
  </si>
  <si>
    <t>100348420</t>
  </si>
  <si>
    <t>DDU Body</t>
  </si>
  <si>
    <t>2600012669</t>
  </si>
  <si>
    <t>100346950</t>
  </si>
  <si>
    <t>DDU Body - PDC casting</t>
  </si>
  <si>
    <t>2600012670</t>
  </si>
  <si>
    <t>100634361</t>
  </si>
  <si>
    <t>Upper Body (Machined)</t>
  </si>
  <si>
    <t>2600012671</t>
  </si>
  <si>
    <t>100635041</t>
  </si>
  <si>
    <t>Treadle Mounting Plate</t>
  </si>
  <si>
    <t>2600012672</t>
  </si>
  <si>
    <t>TOTAL</t>
  </si>
  <si>
    <t>Vendor 250043  •  Q2'26  →  Q3'26  •  RM Price Derivation</t>
  </si>
  <si>
    <t>Old Price (Q2'26)</t>
  </si>
  <si>
    <t>Q3'26 RM</t>
  </si>
  <si>
    <t>Q2'26 Scrap</t>
  </si>
  <si>
    <t>Q3'26 SCM14</t>
  </si>
  <si>
    <t>New Price (Q3'26)</t>
  </si>
  <si>
    <t>Vendor 250044  •  Q1'26  →  Q2'26  •  RM Price Derivation</t>
  </si>
  <si>
    <t>250044</t>
  </si>
  <si>
    <t>9253020164</t>
  </si>
  <si>
    <t>1030304814</t>
  </si>
  <si>
    <t>9253844605</t>
  </si>
  <si>
    <t>16/24 Flange IRB non coated</t>
  </si>
  <si>
    <t>1040302864</t>
  </si>
  <si>
    <t>9253811505</t>
  </si>
  <si>
    <t>Spring Guide (machining) 20/24 DDSBA</t>
  </si>
  <si>
    <t>1040302944</t>
  </si>
  <si>
    <t>9253806055</t>
  </si>
  <si>
    <t>Flange T20/24</t>
  </si>
  <si>
    <t>JED-838-1</t>
  </si>
  <si>
    <t>1040302976</t>
  </si>
  <si>
    <t>9127186546</t>
  </si>
  <si>
    <t>1040303009</t>
  </si>
  <si>
    <t>9127186556</t>
  </si>
  <si>
    <t>1040303011</t>
  </si>
  <si>
    <t>9127106616</t>
  </si>
  <si>
    <t>1040303296</t>
  </si>
  <si>
    <t>9127106516</t>
  </si>
  <si>
    <t>1040303297</t>
  </si>
  <si>
    <t>1050301068</t>
  </si>
  <si>
    <t>4154037414</t>
  </si>
  <si>
    <t xml:space="preserve"> Connecting Rod Machining </t>
  </si>
  <si>
    <t>1090</t>
  </si>
  <si>
    <t>1090302091</t>
  </si>
  <si>
    <t>4154037416</t>
  </si>
  <si>
    <t>Connecting Rod Casting</t>
  </si>
  <si>
    <t>1090302112</t>
  </si>
  <si>
    <t>4753150126</t>
  </si>
  <si>
    <t>1090302123</t>
  </si>
  <si>
    <t>9125006656</t>
  </si>
  <si>
    <t>1090302124</t>
  </si>
  <si>
    <t>4753150146</t>
  </si>
  <si>
    <t>1090302126</t>
  </si>
  <si>
    <t>9125126586</t>
  </si>
  <si>
    <t>1090302127</t>
  </si>
  <si>
    <t>4721950193</t>
  </si>
  <si>
    <t>2600012657</t>
  </si>
  <si>
    <t>4721956524</t>
  </si>
  <si>
    <t>MV Top cover Machined</t>
  </si>
  <si>
    <t>2600012658</t>
  </si>
  <si>
    <t>2600012673</t>
  </si>
  <si>
    <t>4631000194</t>
  </si>
  <si>
    <t>Body QRV</t>
  </si>
  <si>
    <t>2600012674</t>
  </si>
  <si>
    <t>4631000644</t>
  </si>
  <si>
    <t>BODY QRV</t>
  </si>
  <si>
    <t>2600012675</t>
  </si>
  <si>
    <t>9611705504</t>
  </si>
  <si>
    <t>Lower Body Machining</t>
  </si>
  <si>
    <t>2600012676</t>
  </si>
  <si>
    <t>100135731</t>
  </si>
  <si>
    <t>Cylinder Head - Machining</t>
  </si>
  <si>
    <t>2600012677</t>
  </si>
  <si>
    <t>2600012678</t>
  </si>
  <si>
    <t>4619060664</t>
  </si>
  <si>
    <t>Body Lower</t>
  </si>
  <si>
    <t>2600012679</t>
  </si>
  <si>
    <t>2600012680</t>
  </si>
  <si>
    <t>9129700654</t>
  </si>
  <si>
    <t>Crankcase machined</t>
  </si>
  <si>
    <t>2600012681</t>
  </si>
  <si>
    <t>2600012682</t>
  </si>
  <si>
    <t>2600012683</t>
  </si>
  <si>
    <t>2600012684</t>
  </si>
  <si>
    <t>Master Cylinder</t>
  </si>
  <si>
    <t>2600012685</t>
  </si>
  <si>
    <t>100340482</t>
  </si>
  <si>
    <t>Top Cover (Machining)</t>
  </si>
  <si>
    <t>2600012686</t>
  </si>
  <si>
    <t>2600012687</t>
  </si>
  <si>
    <t>2600012688</t>
  </si>
  <si>
    <t>2600012689</t>
  </si>
  <si>
    <t>4631000664</t>
  </si>
  <si>
    <t>Top Plate</t>
  </si>
  <si>
    <t>2600012690</t>
  </si>
  <si>
    <t>2600012691</t>
  </si>
  <si>
    <t>4709080276</t>
  </si>
  <si>
    <t>Cylinder Body (Casting)</t>
  </si>
  <si>
    <t>2600012692</t>
  </si>
  <si>
    <t>4631000154</t>
  </si>
  <si>
    <t>Main Body</t>
  </si>
  <si>
    <t>2600012693</t>
  </si>
  <si>
    <t>2600012694</t>
  </si>
  <si>
    <t>4709080376</t>
  </si>
  <si>
    <t>Master cylinder body</t>
  </si>
  <si>
    <t>2600012695</t>
  </si>
  <si>
    <t>2600012696</t>
  </si>
  <si>
    <t>2600012697</t>
  </si>
  <si>
    <t>4631000174</t>
  </si>
  <si>
    <t>Top Cover</t>
  </si>
  <si>
    <t>2600012698</t>
  </si>
  <si>
    <t>9347140354</t>
  </si>
  <si>
    <t>Body - Machined</t>
  </si>
  <si>
    <t>2600012699</t>
  </si>
  <si>
    <t>2600012700</t>
  </si>
  <si>
    <t>9325000034</t>
  </si>
  <si>
    <t>Body - QSPV</t>
  </si>
  <si>
    <t>2600012701</t>
  </si>
  <si>
    <t>9325001814</t>
  </si>
  <si>
    <t>body</t>
  </si>
  <si>
    <t>2600012702</t>
  </si>
  <si>
    <t>9347140334</t>
  </si>
  <si>
    <t>2600012703</t>
  </si>
  <si>
    <t>9329055516</t>
  </si>
  <si>
    <t>APDA Body PDC</t>
  </si>
  <si>
    <t>2600012758</t>
  </si>
  <si>
    <t>9329055504</t>
  </si>
  <si>
    <t>APDA Body</t>
  </si>
  <si>
    <t>2600012760</t>
  </si>
  <si>
    <t>9739100104</t>
  </si>
  <si>
    <t>RG2 Body</t>
  </si>
  <si>
    <t>2600012769</t>
  </si>
  <si>
    <t>9739090154</t>
  </si>
  <si>
    <t>2600012770</t>
  </si>
  <si>
    <t>9739090184</t>
  </si>
  <si>
    <t>2600012771</t>
  </si>
  <si>
    <t>4721956532</t>
  </si>
  <si>
    <t>2600012785</t>
  </si>
  <si>
    <t>100635141</t>
  </si>
  <si>
    <t>2600012854</t>
  </si>
  <si>
    <t>4324202126</t>
  </si>
  <si>
    <t>2600012864</t>
  </si>
  <si>
    <t>9329055564</t>
  </si>
  <si>
    <t>2600012930</t>
  </si>
  <si>
    <t>9329055524</t>
  </si>
  <si>
    <t>2600012931</t>
  </si>
  <si>
    <t>9329055574</t>
  </si>
  <si>
    <t>2600012934</t>
  </si>
  <si>
    <t>9329055514</t>
  </si>
  <si>
    <t>2600012935</t>
  </si>
  <si>
    <t>9329055554</t>
  </si>
  <si>
    <t>2600012936</t>
  </si>
  <si>
    <t>9329060024</t>
  </si>
  <si>
    <t>2600012947</t>
  </si>
  <si>
    <t>2600013034</t>
  </si>
  <si>
    <t>9121796516</t>
  </si>
  <si>
    <t>Cover casting</t>
  </si>
  <si>
    <t>2600013139</t>
  </si>
  <si>
    <t>9121796506</t>
  </si>
  <si>
    <t>Cylinder Head Casting</t>
  </si>
  <si>
    <t>2600013168</t>
  </si>
  <si>
    <t>2600013212</t>
  </si>
  <si>
    <t>100337001</t>
  </si>
  <si>
    <t>Valve Body(Machining)Re6 Re.Em</t>
  </si>
  <si>
    <t>2600017046</t>
  </si>
  <si>
    <t>4631000736</t>
  </si>
  <si>
    <t>2600017087</t>
  </si>
  <si>
    <t>9611700114</t>
  </si>
  <si>
    <t>Upper body machining</t>
  </si>
  <si>
    <t>2600017977</t>
  </si>
  <si>
    <t>2600018108</t>
  </si>
  <si>
    <t>9325000035</t>
  </si>
  <si>
    <t>2600019375</t>
  </si>
  <si>
    <t>9325001815</t>
  </si>
  <si>
    <t>Body ( Without anodizing )</t>
  </si>
  <si>
    <t>2600019379</t>
  </si>
  <si>
    <t>2600020017</t>
  </si>
  <si>
    <t>2600020092</t>
  </si>
  <si>
    <t>100634101</t>
  </si>
  <si>
    <t>Upper Body (machining)</t>
  </si>
  <si>
    <t>2600020260</t>
  </si>
  <si>
    <t>100634471</t>
  </si>
  <si>
    <t>Upper Body (Machining)</t>
  </si>
  <si>
    <t>2600020261</t>
  </si>
  <si>
    <t>4213706086</t>
  </si>
  <si>
    <t>2600020275</t>
  </si>
  <si>
    <t>4619061284</t>
  </si>
  <si>
    <t>Housing</t>
  </si>
  <si>
    <t>2600020479</t>
  </si>
  <si>
    <t>1025</t>
  </si>
  <si>
    <t>2600021538</t>
  </si>
  <si>
    <t>2600021539</t>
  </si>
  <si>
    <t>4721950303</t>
  </si>
  <si>
    <t>Body for Modulator Valve</t>
  </si>
  <si>
    <t>2600021559</t>
  </si>
  <si>
    <t>4721950143</t>
  </si>
  <si>
    <t>2600021561</t>
  </si>
  <si>
    <t>Vendor 250044  •  Q2'26  →  Q3'26  •  RM Price Derivation</t>
  </si>
  <si>
    <t>Vendor 250050  •  Q1'26  →  Q2'26  •  RM Price Derivation</t>
  </si>
  <si>
    <t>250050</t>
  </si>
  <si>
    <t>1030303024</t>
  </si>
  <si>
    <t>1030303025</t>
  </si>
  <si>
    <t>1030303026</t>
  </si>
  <si>
    <t>1030303027</t>
  </si>
  <si>
    <t>100632961</t>
  </si>
  <si>
    <t>Lower Body (Pdc ) -(A/L)-Voss Fitting</t>
  </si>
  <si>
    <t>1030303028</t>
  </si>
  <si>
    <t>1030303029</t>
  </si>
  <si>
    <t>1030303030</t>
  </si>
  <si>
    <t>1030303031</t>
  </si>
  <si>
    <t>1030303032</t>
  </si>
  <si>
    <t>1030303033</t>
  </si>
  <si>
    <t>1030303034</t>
  </si>
  <si>
    <t>1030303035</t>
  </si>
  <si>
    <t>1030303036</t>
  </si>
  <si>
    <t>100632962</t>
  </si>
  <si>
    <t>Lower Body</t>
  </si>
  <si>
    <t>1030303037</t>
  </si>
  <si>
    <t>1030303038</t>
  </si>
  <si>
    <t>9254916066</t>
  </si>
  <si>
    <t>VE Flange</t>
  </si>
  <si>
    <t>1030303039</t>
  </si>
  <si>
    <t>9254916064</t>
  </si>
  <si>
    <t>Flange Machined</t>
  </si>
  <si>
    <t>1030303040</t>
  </si>
  <si>
    <t>1030303041</t>
  </si>
  <si>
    <t>1030303042</t>
  </si>
  <si>
    <t>1030303043</t>
  </si>
  <si>
    <t>9739090174</t>
  </si>
  <si>
    <t>1030303044</t>
  </si>
  <si>
    <t>9739090124</t>
  </si>
  <si>
    <t>RG2 Top Cover - (Machining)</t>
  </si>
  <si>
    <t>1030303045</t>
  </si>
  <si>
    <t>101374811</t>
  </si>
  <si>
    <t>Cylinder Head Machined</t>
  </si>
  <si>
    <t>1030303046</t>
  </si>
  <si>
    <t>1030303047</t>
  </si>
  <si>
    <t>9611705506</t>
  </si>
  <si>
    <t>1030303048</t>
  </si>
  <si>
    <t>1030303049</t>
  </si>
  <si>
    <t>1030303050</t>
  </si>
  <si>
    <t>1030303051</t>
  </si>
  <si>
    <t>9522000084</t>
  </si>
  <si>
    <t>1030303052</t>
  </si>
  <si>
    <t>9253844604</t>
  </si>
  <si>
    <t>Flange 16/24</t>
  </si>
  <si>
    <t>1040301923</t>
  </si>
  <si>
    <t>1040301924</t>
  </si>
  <si>
    <t>1050300742</t>
  </si>
  <si>
    <t>1050300743</t>
  </si>
  <si>
    <t>1050300744</t>
  </si>
  <si>
    <t>1080302692</t>
  </si>
  <si>
    <t>1080302693</t>
  </si>
  <si>
    <t>1080302694</t>
  </si>
  <si>
    <t>1080302695</t>
  </si>
  <si>
    <t>1080302696</t>
  </si>
  <si>
    <t>100635042</t>
  </si>
  <si>
    <t>Treadle Mounting plate</t>
  </si>
  <si>
    <t>1080302697</t>
  </si>
  <si>
    <t>1080302698</t>
  </si>
  <si>
    <t>1080302699</t>
  </si>
  <si>
    <t>1080302700</t>
  </si>
  <si>
    <t>1080302701</t>
  </si>
  <si>
    <t>1080302702</t>
  </si>
  <si>
    <t>1080302703</t>
  </si>
  <si>
    <t>1080302704</t>
  </si>
  <si>
    <t>1080302705</t>
  </si>
  <si>
    <t>1080302706</t>
  </si>
  <si>
    <t>1080302707</t>
  </si>
  <si>
    <t>1080302708</t>
  </si>
  <si>
    <t>1080302709</t>
  </si>
  <si>
    <t>1080302710</t>
  </si>
  <si>
    <t>1080302711</t>
  </si>
  <si>
    <t>9739090194</t>
  </si>
  <si>
    <t>1080302712</t>
  </si>
  <si>
    <t>9739110104</t>
  </si>
  <si>
    <t>body (Machining)</t>
  </si>
  <si>
    <t>1080302822</t>
  </si>
  <si>
    <t>9253924514</t>
  </si>
  <si>
    <t>Spring Guide</t>
  </si>
  <si>
    <t>1090301395</t>
  </si>
  <si>
    <t>2600012705</t>
  </si>
  <si>
    <t>2600012706</t>
  </si>
  <si>
    <t>2600012707</t>
  </si>
  <si>
    <t>2600012708</t>
  </si>
  <si>
    <t>2600012709</t>
  </si>
  <si>
    <t>2600012710</t>
  </si>
  <si>
    <t>2600012711</t>
  </si>
  <si>
    <t>2600012712</t>
  </si>
  <si>
    <t>2600012713</t>
  </si>
  <si>
    <t>2600012714</t>
  </si>
  <si>
    <t>2600012715</t>
  </si>
  <si>
    <t>2600012716</t>
  </si>
  <si>
    <t>2600012717</t>
  </si>
  <si>
    <t>2600012718</t>
  </si>
  <si>
    <t>2600012719</t>
  </si>
  <si>
    <t>2600012720</t>
  </si>
  <si>
    <t>2600012721</t>
  </si>
  <si>
    <t>2600012722</t>
  </si>
  <si>
    <t>2600012723</t>
  </si>
  <si>
    <t>2600012724</t>
  </si>
  <si>
    <t>2600012725</t>
  </si>
  <si>
    <t>2600012726</t>
  </si>
  <si>
    <t>2600012728</t>
  </si>
  <si>
    <t>2600012729</t>
  </si>
  <si>
    <t>2600012730</t>
  </si>
  <si>
    <t>2600012731</t>
  </si>
  <si>
    <t>Vendor 250050  •  Q2'26  →  Q3'26  •  RM Price Derivation</t>
  </si>
  <si>
    <t>Vendor 250197  •  Q1'26  →  Q2'26  •  RM Price Derivation</t>
  </si>
  <si>
    <t>250197</t>
  </si>
  <si>
    <t>100805491</t>
  </si>
  <si>
    <t>CAP  M/C-Double Check Valve</t>
  </si>
  <si>
    <t>1030303768</t>
  </si>
  <si>
    <t>100805511</t>
  </si>
  <si>
    <t xml:space="preserve"> AP (machined  Plating)</t>
  </si>
  <si>
    <t>1030303769</t>
  </si>
  <si>
    <t>4619060904</t>
  </si>
  <si>
    <t>Upper body</t>
  </si>
  <si>
    <t>1030303770</t>
  </si>
  <si>
    <t>102796311</t>
  </si>
  <si>
    <t>Flange (Machined)</t>
  </si>
  <si>
    <t>1030303771</t>
  </si>
  <si>
    <t>4730170024</t>
  </si>
  <si>
    <t>BODY</t>
  </si>
  <si>
    <t>1030303772</t>
  </si>
  <si>
    <t>1030303773</t>
  </si>
  <si>
    <t>9701906284</t>
  </si>
  <si>
    <t>Piston</t>
  </si>
  <si>
    <t>1030303774</t>
  </si>
  <si>
    <t>102770211</t>
  </si>
  <si>
    <t>Air cylinder</t>
  </si>
  <si>
    <t>1030303775</t>
  </si>
  <si>
    <t>100339471</t>
  </si>
  <si>
    <t>Top Cover - Machining</t>
  </si>
  <si>
    <t>1030303776</t>
  </si>
  <si>
    <t>9739090164</t>
  </si>
  <si>
    <t>RG2 Top Cover</t>
  </si>
  <si>
    <t>1030303777</t>
  </si>
  <si>
    <t>100632981</t>
  </si>
  <si>
    <t>Body Upper Part(Al) (PDC)- Voss fitting</t>
  </si>
  <si>
    <t>1030303778</t>
  </si>
  <si>
    <t>1030303779</t>
  </si>
  <si>
    <t>1030303780</t>
  </si>
  <si>
    <t>100632983</t>
  </si>
  <si>
    <t>Upper Body</t>
  </si>
  <si>
    <t>1030303781</t>
  </si>
  <si>
    <t>1030303782</t>
  </si>
  <si>
    <t>102755611</t>
  </si>
  <si>
    <t>FLANGE (MACHINED)</t>
  </si>
  <si>
    <t>1030304348</t>
  </si>
  <si>
    <t>103367601</t>
  </si>
  <si>
    <t>Top Cover (machining)</t>
  </si>
  <si>
    <t>1030304350</t>
  </si>
  <si>
    <t>100275560</t>
  </si>
  <si>
    <t>FLANGE(CASTING)</t>
  </si>
  <si>
    <t>1030304397</t>
  </si>
  <si>
    <t>100632982</t>
  </si>
  <si>
    <t>1030304584</t>
  </si>
  <si>
    <t>100635031</t>
  </si>
  <si>
    <t xml:space="preserve"> Treadle Mounting Plate</t>
  </si>
  <si>
    <t>1030304585</t>
  </si>
  <si>
    <t>103436111</t>
  </si>
  <si>
    <t>TOP COVER (MACHINING)</t>
  </si>
  <si>
    <t>1030304586</t>
  </si>
  <si>
    <t>1030304587</t>
  </si>
  <si>
    <t>LOWER BODY</t>
  </si>
  <si>
    <t>1030304919</t>
  </si>
  <si>
    <t>1030304926</t>
  </si>
  <si>
    <t>100632971</t>
  </si>
  <si>
    <t>1030304931</t>
  </si>
  <si>
    <t>100632975</t>
  </si>
  <si>
    <t>1030304932</t>
  </si>
  <si>
    <t/>
  </si>
  <si>
    <t>1030305065</t>
  </si>
  <si>
    <t>9709000604</t>
  </si>
  <si>
    <t>1030305086</t>
  </si>
  <si>
    <t>4730170614</t>
  </si>
  <si>
    <t>1030305123</t>
  </si>
  <si>
    <t>4730170574</t>
  </si>
  <si>
    <t>1030305125</t>
  </si>
  <si>
    <t>4619060824</t>
  </si>
  <si>
    <t>1040303300</t>
  </si>
  <si>
    <t>4219060214</t>
  </si>
  <si>
    <t>1050301107</t>
  </si>
  <si>
    <t>1050301171</t>
  </si>
  <si>
    <t xml:space="preserve">CAP </t>
  </si>
  <si>
    <t>1050301268</t>
  </si>
  <si>
    <t>1080303259</t>
  </si>
  <si>
    <t>1080303260</t>
  </si>
  <si>
    <t>1080303261</t>
  </si>
  <si>
    <t>1080303262</t>
  </si>
  <si>
    <t>1080303263</t>
  </si>
  <si>
    <t>1080303264</t>
  </si>
  <si>
    <t>1080303265</t>
  </si>
  <si>
    <t>1080303458</t>
  </si>
  <si>
    <t>100275561</t>
  </si>
  <si>
    <t>FLANGE (ANODISING)</t>
  </si>
  <si>
    <t>1080303474</t>
  </si>
  <si>
    <t>1080303673</t>
  </si>
  <si>
    <t>1080303751</t>
  </si>
  <si>
    <t>100336760</t>
  </si>
  <si>
    <t>Top Cover (Casting)</t>
  </si>
  <si>
    <t>1080303985</t>
  </si>
  <si>
    <t>1080303986</t>
  </si>
  <si>
    <t>100343611</t>
  </si>
  <si>
    <t>1080303988</t>
  </si>
  <si>
    <t>100347280</t>
  </si>
  <si>
    <t>Top cover</t>
  </si>
  <si>
    <t>1080303989</t>
  </si>
  <si>
    <t>106350311</t>
  </si>
  <si>
    <t>Treadle (Machining)</t>
  </si>
  <si>
    <t>1080303990</t>
  </si>
  <si>
    <t>3251910024</t>
  </si>
  <si>
    <t>1080303991</t>
  </si>
  <si>
    <t>9253046054</t>
  </si>
  <si>
    <t>1080303992</t>
  </si>
  <si>
    <t>9259056054</t>
  </si>
  <si>
    <t>1080303993</t>
  </si>
  <si>
    <t>1080303994</t>
  </si>
  <si>
    <t>1080303995</t>
  </si>
  <si>
    <t>100279631</t>
  </si>
  <si>
    <t>Flange ( machined )</t>
  </si>
  <si>
    <t>1080304009</t>
  </si>
  <si>
    <t>4619061274</t>
  </si>
  <si>
    <t>1080304184</t>
  </si>
  <si>
    <t>1080304300</t>
  </si>
  <si>
    <t>1080304301</t>
  </si>
  <si>
    <t>1080304333</t>
  </si>
  <si>
    <t>4619060814</t>
  </si>
  <si>
    <t>Body Upper</t>
  </si>
  <si>
    <t>1080304340</t>
  </si>
  <si>
    <t>1080304343</t>
  </si>
  <si>
    <t>1080304364</t>
  </si>
  <si>
    <t>9709090094</t>
  </si>
  <si>
    <t>1080304608</t>
  </si>
  <si>
    <t>1080304620</t>
  </si>
  <si>
    <t>1080304621</t>
  </si>
  <si>
    <t>4619060064</t>
  </si>
  <si>
    <t>1080304657</t>
  </si>
  <si>
    <t>9709090004</t>
  </si>
  <si>
    <t>1080304658</t>
  </si>
  <si>
    <t>1090302191</t>
  </si>
  <si>
    <t>RG2 BODY</t>
  </si>
  <si>
    <t>2600015466</t>
  </si>
  <si>
    <t>2600015467</t>
  </si>
  <si>
    <t>2600015468</t>
  </si>
  <si>
    <t>2600015469</t>
  </si>
  <si>
    <t>2600015470</t>
  </si>
  <si>
    <t>100277021</t>
  </si>
  <si>
    <t>2600015471</t>
  </si>
  <si>
    <t>2600017390</t>
  </si>
  <si>
    <t>2600017952</t>
  </si>
  <si>
    <t>2600019723</t>
  </si>
  <si>
    <t>2600019724</t>
  </si>
  <si>
    <t>100632980</t>
  </si>
  <si>
    <t>Upper Body -Casting</t>
  </si>
  <si>
    <t>2600019725</t>
  </si>
  <si>
    <t>2600019726</t>
  </si>
  <si>
    <t>103436311</t>
  </si>
  <si>
    <t>RG2  Body (MACHINING &amp; W/o plating)</t>
  </si>
  <si>
    <t>2600019727</t>
  </si>
  <si>
    <t>Cylinder (Machining)</t>
  </si>
  <si>
    <t>2600019728</t>
  </si>
  <si>
    <t>9254915035</t>
  </si>
  <si>
    <t>2600020650</t>
  </si>
  <si>
    <t>9254550285</t>
  </si>
  <si>
    <t>flange ( Machined )</t>
  </si>
  <si>
    <t>2600020651</t>
  </si>
  <si>
    <t>4214291724</t>
  </si>
  <si>
    <t>2600020705</t>
  </si>
  <si>
    <t>2600021401</t>
  </si>
  <si>
    <t>3800</t>
  </si>
  <si>
    <t>3870001259</t>
  </si>
  <si>
    <t>4800</t>
  </si>
  <si>
    <t>4870001927</t>
  </si>
  <si>
    <t>Vendor 250197  •  Q2'26  →  Q3'26  •  RM Price Derivation</t>
  </si>
  <si>
    <t>Vendor 250274  •  Q1'26  →  Q2'26  •  RM Price Derivation</t>
  </si>
  <si>
    <t>250274</t>
  </si>
  <si>
    <t>1030304022</t>
  </si>
  <si>
    <t>3250180024</t>
  </si>
  <si>
    <t>Flange _AM</t>
  </si>
  <si>
    <t>1030304510</t>
  </si>
  <si>
    <t>3250180014</t>
  </si>
  <si>
    <t>1030304512</t>
  </si>
  <si>
    <t>3250180016</t>
  </si>
  <si>
    <t>1030304513</t>
  </si>
  <si>
    <t>9254915044</t>
  </si>
  <si>
    <t>1030304671</t>
  </si>
  <si>
    <t>9253806006</t>
  </si>
  <si>
    <t>Flange (casting)</t>
  </si>
  <si>
    <t>1040302966</t>
  </si>
  <si>
    <t>1040303128</t>
  </si>
  <si>
    <t>3250180044</t>
  </si>
  <si>
    <t>1040303129</t>
  </si>
  <si>
    <t>3250190034</t>
  </si>
  <si>
    <t>Flange_AM</t>
  </si>
  <si>
    <t>1040303130</t>
  </si>
  <si>
    <t>1040303188</t>
  </si>
  <si>
    <t>1080303969</t>
  </si>
  <si>
    <t>1080303979</t>
  </si>
  <si>
    <t>1080303980</t>
  </si>
  <si>
    <t>1080303981</t>
  </si>
  <si>
    <t>4721951263</t>
  </si>
  <si>
    <t>SMV(RAP) - Body</t>
  </si>
  <si>
    <t>1080303982</t>
  </si>
  <si>
    <t>100348091</t>
  </si>
  <si>
    <t>Condensate Body - M/C</t>
  </si>
  <si>
    <t>1080303983</t>
  </si>
  <si>
    <t>9125126596</t>
  </si>
  <si>
    <t>Cover Casting</t>
  </si>
  <si>
    <t>1090301868</t>
  </si>
  <si>
    <t>1090302055</t>
  </si>
  <si>
    <t>2600016963</t>
  </si>
  <si>
    <t>2600016964</t>
  </si>
  <si>
    <t>2600016965</t>
  </si>
  <si>
    <t>100335751</t>
  </si>
  <si>
    <t>Top Cover(Machining)Relay Valv</t>
  </si>
  <si>
    <t>2600016966</t>
  </si>
  <si>
    <t>100347871</t>
  </si>
  <si>
    <t>QSPV Voss Body</t>
  </si>
  <si>
    <t>2600016967</t>
  </si>
  <si>
    <t>2600016968</t>
  </si>
  <si>
    <t>100335752</t>
  </si>
  <si>
    <t>Top Cover(Machining)-R6 Relay</t>
  </si>
  <si>
    <t>2600016969</t>
  </si>
  <si>
    <t>2600016970</t>
  </si>
  <si>
    <t>3250190036</t>
  </si>
  <si>
    <t>2600016971</t>
  </si>
  <si>
    <t>2600016972</t>
  </si>
  <si>
    <t>2600016974</t>
  </si>
  <si>
    <t>2600016975</t>
  </si>
  <si>
    <t>2600016976</t>
  </si>
  <si>
    <t>2600016977</t>
  </si>
  <si>
    <t>2600017388</t>
  </si>
  <si>
    <t>2600017750</t>
  </si>
  <si>
    <t>2600018063</t>
  </si>
  <si>
    <t>3250190144</t>
  </si>
  <si>
    <t>2600018528</t>
  </si>
  <si>
    <t>3250180025</t>
  </si>
  <si>
    <t>2600019368</t>
  </si>
  <si>
    <t>3250180015</t>
  </si>
  <si>
    <t>2600019371</t>
  </si>
  <si>
    <t>100343541</t>
  </si>
  <si>
    <t>ALSV Lower Body PDC Machined</t>
  </si>
  <si>
    <t>2600019710</t>
  </si>
  <si>
    <t>100343542</t>
  </si>
  <si>
    <t>2600019711</t>
  </si>
  <si>
    <t>4721950114</t>
  </si>
  <si>
    <t>2600019712</t>
  </si>
  <si>
    <t>4721950304</t>
  </si>
  <si>
    <t>Body Machined (0560)</t>
  </si>
  <si>
    <t>2600019713</t>
  </si>
  <si>
    <t>4721950194</t>
  </si>
  <si>
    <t>Modulator valve body</t>
  </si>
  <si>
    <t>2600019714</t>
  </si>
  <si>
    <t>4721950136</t>
  </si>
  <si>
    <t>2600019715</t>
  </si>
  <si>
    <t>4721951254</t>
  </si>
  <si>
    <t>Solenoid Modulator valve Body</t>
  </si>
  <si>
    <t>2600019716</t>
  </si>
  <si>
    <t>100279630</t>
  </si>
  <si>
    <t>Flange -Casting</t>
  </si>
  <si>
    <t>2600019717</t>
  </si>
  <si>
    <t>2600021351</t>
  </si>
  <si>
    <t>2600021360</t>
  </si>
  <si>
    <t>4870001926</t>
  </si>
  <si>
    <t>Vendor 250274  •  Q2'26  →  Q3'26  •  RM Price Derivation</t>
  </si>
  <si>
    <t>Vendor 250482  •  Q1'26  →  Q2'26  •  RM Price Derivation</t>
  </si>
  <si>
    <t>250482</t>
  </si>
  <si>
    <t>Cylinder Head - Pdc Casting(TCL)</t>
  </si>
  <si>
    <t>1090302272</t>
  </si>
  <si>
    <t>9125006626</t>
  </si>
  <si>
    <t>1090302275</t>
  </si>
  <si>
    <t>9125006646</t>
  </si>
  <si>
    <t>1090302276</t>
  </si>
  <si>
    <t>4619061554</t>
  </si>
  <si>
    <t>Front End Cover</t>
  </si>
  <si>
    <t>2600021742</t>
  </si>
  <si>
    <t>4619061514</t>
  </si>
  <si>
    <t>2600021743</t>
  </si>
  <si>
    <t>9129702806</t>
  </si>
  <si>
    <t>Guide Plate</t>
  </si>
  <si>
    <t>2600021769</t>
  </si>
  <si>
    <t>9129056164</t>
  </si>
  <si>
    <t>2600021844</t>
  </si>
  <si>
    <t>4619061654</t>
  </si>
  <si>
    <t>2600021868</t>
  </si>
  <si>
    <t>4619061564</t>
  </si>
  <si>
    <t>2600021869</t>
  </si>
  <si>
    <t>4619061644</t>
  </si>
  <si>
    <t>2600021870</t>
  </si>
  <si>
    <t>4619061544</t>
  </si>
  <si>
    <t>2600021871</t>
  </si>
  <si>
    <t>9129056154</t>
  </si>
  <si>
    <t>2600021877</t>
  </si>
  <si>
    <t>4619061584</t>
  </si>
  <si>
    <t>2600021882</t>
  </si>
  <si>
    <t>Vendor 250482  •  Q2'26  →  Q3'26  •  RM Price 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</si>
</sst>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;[Red](0.0000)"/>
    <numFmt numFmtId="166" formatCode="#,##0.0000;[Red](#,##0.0000)"/>
  </numFmts>
  <fonts count="8" x14ac:knownFonts="1">
    <font>
      <color theme="1"/>
      <family val="2"/>
      <scheme val="minor"/>
      <sz val="11"/>
      <name val="Calibri"/>
    </font>
    <font>
      <b/>
      <color rgb="FF1E3A8A"/>
      <sz val="16"/>
    </font>
    <font>
      <b/>
      <color rgb="FFFFFFFF"/>
      <sz val="13"/>
    </font>
    <font>
      <b/>
    </font>
    <font>
      <b/>
      <color rgb="FF065F46"/>
    </font>
    <font>
      <b/>
      <color rgb="FFFFFFFF"/>
    </font>
    <font>
      <i/>
      <color rgb="FF6B7280"/>
    </font>
    <font>
      <i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 indent="1"/>
    </xf>
    <xf numFmtId="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4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4" fontId="3" fillId="0" borderId="2" xfId="0" applyNumberFormat="1" applyFont="1" applyBorder="1"/>
    <xf numFmtId="3" fontId="0" fillId="0" borderId="2" xfId="0" applyNumberFormat="1" applyBorder="1"/>
    <xf numFmtId="166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  <xf numFmtId="4" fontId="0" fillId="3" borderId="2" xfId="0" applyNumberFormat="1" applyFill="1" applyBorder="1"/>
    <xf numFmtId="2" fontId="0" fillId="3" borderId="2" xfId="0" applyNumberFormat="1" applyFill="1" applyBorder="1"/>
    <xf numFmtId="165" fontId="0" fillId="3" borderId="2" xfId="0" applyNumberFormat="1" applyFill="1" applyBorder="1"/>
    <xf numFmtId="4" fontId="3" fillId="3" borderId="2" xfId="0" applyNumberFormat="1" applyFont="1" applyFill="1" applyBorder="1"/>
    <xf numFmtId="3" fontId="0" fillId="3" borderId="2" xfId="0" applyNumberFormat="1" applyFill="1" applyBorder="1"/>
    <xf numFmtId="166" fontId="0" fillId="3" borderId="2" xfId="0" applyNumberFormat="1" applyFill="1" applyBorder="1"/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right" indent="1"/>
    </xf>
    <xf numFmtId="3" fontId="3" fillId="4" borderId="3" xfId="0" applyNumberFormat="1" applyFont="1" applyFill="1" applyBorder="1"/>
    <xf numFmtId="166" fontId="3" fillId="4" borderId="3" xfId="0" applyNumberFormat="1" applyFont="1" applyFill="1" applyBorder="1"/>
    <xf numFmtId="2" fontId="7" fillId="0" borderId="2" xfId="0" applyNumberFormat="1" applyFont="1" applyBorder="1"/>
    <xf numFmtId="165" fontId="7" fillId="0" borderId="2" xfId="0" applyNumberFormat="1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2" fontId="7" fillId="3" borderId="2" xfId="0" applyNumberFormat="1" applyFont="1" applyFill="1" applyBorder="1"/>
    <xf numFmtId="165" fontId="7" fillId="3" borderId="2" xfId="0" applyNumberFormat="1" applyFont="1" applyFill="1" applyBorder="1"/>
    <xf numFmtId="164" fontId="7" fillId="3" borderId="2" xfId="0" applyNumberFormat="1" applyFont="1" applyFill="1" applyBorder="1"/>
    <xf numFmtId="4" fontId="7" fillId="3" borderId="2" xfId="0" applyNumberFormat="1" applyFont="1" applyFill="1" applyBorder="1"/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B8"/>
  <sheetFormatPr defaultRowHeight="15" outlineLevelRow="0" outlineLevelCol="0" x14ac:dyDescent="55"/>
  <cols>
    <col min="1" max="1" width="28" customWidth="1"/>
    <col min="2" max="2" width="60" customWidth="1"/>
  </cols>
  <sheetData>
    <row r="1" ht="24" customHeight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6</v>
      </c>
    </row>
    <row r="5" spans="1:2" x14ac:dyDescent="0.25">
      <c r="A5" t="s">
        <v>4</v>
      </c>
      <c r="B5">
        <v>346</v>
      </c>
    </row>
    <row r="6" spans="1:2" x14ac:dyDescent="0.25">
      <c r="A6" t="s">
        <v>5</v>
      </c>
      <c r="B6" t="s">
        <v>6</v>
      </c>
    </row>
    <row r="8" spans="1:2" x14ac:dyDescent="0.25">
      <c r="A8" t="s">
        <v>7</v>
      </c>
      <c r="B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34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W34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34</v>
      </c>
      <c r="D4" s="7" t="s">
        <v>35</v>
      </c>
      <c r="E4" s="7" t="s">
        <v>36</v>
      </c>
      <c r="F4" s="7">
        <v>0.358</v>
      </c>
      <c r="G4" s="7">
        <v>0.327</v>
      </c>
      <c r="H4" s="7" t="s">
        <v>37</v>
      </c>
      <c r="I4" s="7" t="s">
        <v>38</v>
      </c>
      <c r="J4" s="7" t="s">
        <v>39</v>
      </c>
      <c r="K4" s="8">
        <f>F4*1.06</f>
      </c>
      <c r="L4" s="9">
        <v>212.8741</v>
      </c>
      <c r="M4" s="10">
        <v>239</v>
      </c>
      <c r="N4" s="10">
        <v>369</v>
      </c>
      <c r="O4" s="11">
        <f>IFERROR((N4-M4)*K4,0)</f>
      </c>
      <c r="P4" s="10">
        <v>154</v>
      </c>
      <c r="Q4" s="10">
        <v>239</v>
      </c>
      <c r="R4" s="10">
        <v>369</v>
      </c>
      <c r="S4" s="8">
        <f>IFERROR((P4/Q4)*R4,0)</f>
      </c>
      <c r="T4" s="8">
        <f>IFERROR((S4-P4)*((F4-G4)*0.8),0)</f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34</v>
      </c>
      <c r="D5" s="15" t="s">
        <v>40</v>
      </c>
      <c r="E5" s="15" t="s">
        <v>41</v>
      </c>
      <c r="F5" s="15">
        <v>1.182</v>
      </c>
      <c r="G5" s="15">
        <v>1.172</v>
      </c>
      <c r="H5" s="15" t="s">
        <v>37</v>
      </c>
      <c r="I5" s="15" t="s">
        <v>38</v>
      </c>
      <c r="J5" s="15" t="s">
        <v>42</v>
      </c>
      <c r="K5" s="16">
        <f>F5*1.06</f>
      </c>
      <c r="L5" s="17">
        <v>442.416</v>
      </c>
      <c r="M5" s="18">
        <v>239</v>
      </c>
      <c r="N5" s="18">
        <v>369</v>
      </c>
      <c r="O5" s="19">
        <f>IFERROR((N5-M5)*K5,0)</f>
      </c>
      <c r="P5" s="18">
        <v>154</v>
      </c>
      <c r="Q5" s="18">
        <v>239</v>
      </c>
      <c r="R5" s="18">
        <v>369</v>
      </c>
      <c r="S5" s="16">
        <f>IFERROR((P5/Q5)*R5,0)</f>
      </c>
      <c r="T5" s="16">
        <f>IFERROR((S5-P5)*((F5-G5)*0.8),0)</f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34</v>
      </c>
      <c r="D6" s="7" t="s">
        <v>43</v>
      </c>
      <c r="E6" s="7" t="s">
        <v>44</v>
      </c>
      <c r="F6" s="7">
        <v>1.213</v>
      </c>
      <c r="G6" s="7">
        <v>1.115</v>
      </c>
      <c r="H6" s="7" t="s">
        <v>45</v>
      </c>
      <c r="I6" s="7" t="s">
        <v>46</v>
      </c>
      <c r="J6" s="7" t="s">
        <v>47</v>
      </c>
      <c r="K6" s="8">
        <f>F6*1.06</f>
      </c>
      <c r="L6" s="9">
        <v>768.2155</v>
      </c>
      <c r="M6" s="10">
        <v>250</v>
      </c>
      <c r="N6" s="10">
        <v>381</v>
      </c>
      <c r="O6" s="11">
        <f>IFERROR((N6-M6)*K6,0)</f>
      </c>
      <c r="P6" s="10">
        <v>154</v>
      </c>
      <c r="Q6" s="10">
        <v>239</v>
      </c>
      <c r="R6" s="10">
        <v>369</v>
      </c>
      <c r="S6" s="8">
        <f>IFERROR((P6/Q6)*R6,0)</f>
      </c>
      <c r="T6" s="8">
        <f>IFERROR((S6-P6)*((F6-G6)*0.8),0)</f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34</v>
      </c>
      <c r="D7" s="15" t="s">
        <v>48</v>
      </c>
      <c r="E7" s="15" t="s">
        <v>49</v>
      </c>
      <c r="F7" s="15">
        <v>1.234</v>
      </c>
      <c r="G7" s="15">
        <v>1.212</v>
      </c>
      <c r="H7" s="15" t="s">
        <v>45</v>
      </c>
      <c r="I7" s="15" t="s">
        <v>46</v>
      </c>
      <c r="J7" s="15" t="s">
        <v>50</v>
      </c>
      <c r="K7" s="16">
        <f>F7*1.06</f>
      </c>
      <c r="L7" s="17">
        <v>768.4611</v>
      </c>
      <c r="M7" s="18">
        <v>250</v>
      </c>
      <c r="N7" s="18">
        <v>381</v>
      </c>
      <c r="O7" s="19">
        <f>IFERROR((N7-M7)*K7,0)</f>
      </c>
      <c r="P7" s="18">
        <v>154</v>
      </c>
      <c r="Q7" s="18">
        <v>239</v>
      </c>
      <c r="R7" s="18">
        <v>369</v>
      </c>
      <c r="S7" s="16">
        <f>IFERROR((P7/Q7)*R7,0)</f>
      </c>
      <c r="T7" s="16">
        <f>IFERROR((S7-P7)*((F7-G7)*0.8),0)</f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34</v>
      </c>
      <c r="D8" s="7" t="s">
        <v>51</v>
      </c>
      <c r="E8" s="7" t="s">
        <v>44</v>
      </c>
      <c r="F8" s="7">
        <v>1.185</v>
      </c>
      <c r="G8" s="7">
        <v>1.131</v>
      </c>
      <c r="H8" s="7" t="s">
        <v>45</v>
      </c>
      <c r="I8" s="7" t="s">
        <v>46</v>
      </c>
      <c r="J8" s="7" t="s">
        <v>52</v>
      </c>
      <c r="K8" s="8">
        <f>F8*1.06</f>
      </c>
      <c r="L8" s="9">
        <v>757.8186</v>
      </c>
      <c r="M8" s="10">
        <v>250</v>
      </c>
      <c r="N8" s="10">
        <v>381</v>
      </c>
      <c r="O8" s="11">
        <f>IFERROR((N8-M8)*K8,0)</f>
      </c>
      <c r="P8" s="10">
        <v>154</v>
      </c>
      <c r="Q8" s="10">
        <v>239</v>
      </c>
      <c r="R8" s="10">
        <v>369</v>
      </c>
      <c r="S8" s="8">
        <f>IFERROR((P8/Q8)*R8,0)</f>
      </c>
      <c r="T8" s="8">
        <f>IFERROR((S8-P8)*((F8-G8)*0.8),0)</f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34</v>
      </c>
      <c r="D9" s="15" t="s">
        <v>53</v>
      </c>
      <c r="E9" s="15" t="s">
        <v>41</v>
      </c>
      <c r="F9" s="15">
        <v>0.973</v>
      </c>
      <c r="G9" s="15">
        <v>0.964</v>
      </c>
      <c r="H9" s="15" t="s">
        <v>54</v>
      </c>
      <c r="I9" s="15" t="s">
        <v>46</v>
      </c>
      <c r="J9" s="15" t="s">
        <v>55</v>
      </c>
      <c r="K9" s="16">
        <f>F9*1.06</f>
      </c>
      <c r="L9" s="17">
        <v>498.9638</v>
      </c>
      <c r="M9" s="18">
        <v>250</v>
      </c>
      <c r="N9" s="18">
        <v>381</v>
      </c>
      <c r="O9" s="19">
        <f>IFERROR((N9-M9)*K9,0)</f>
      </c>
      <c r="P9" s="18">
        <v>154</v>
      </c>
      <c r="Q9" s="18">
        <v>239</v>
      </c>
      <c r="R9" s="18">
        <v>369</v>
      </c>
      <c r="S9" s="16">
        <f>IFERROR((P9/Q9)*R9,0)</f>
      </c>
      <c r="T9" s="16">
        <f>IFERROR((S9-P9)*((F9-G9)*0.8),0)</f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34</v>
      </c>
      <c r="D10" s="7" t="s">
        <v>56</v>
      </c>
      <c r="E10" s="7" t="s">
        <v>44</v>
      </c>
      <c r="F10" s="7">
        <v>1.177</v>
      </c>
      <c r="G10" s="7">
        <v>1.116</v>
      </c>
      <c r="H10" s="7" t="s">
        <v>45</v>
      </c>
      <c r="I10" s="7" t="s">
        <v>46</v>
      </c>
      <c r="J10" s="7" t="s">
        <v>57</v>
      </c>
      <c r="K10" s="8">
        <f>F10*1.06</f>
      </c>
      <c r="L10" s="9">
        <v>767.0901</v>
      </c>
      <c r="M10" s="10">
        <v>250</v>
      </c>
      <c r="N10" s="10">
        <v>381</v>
      </c>
      <c r="O10" s="11">
        <f>IFERROR((N10-M10)*K10,0)</f>
      </c>
      <c r="P10" s="10">
        <v>154</v>
      </c>
      <c r="Q10" s="10">
        <v>239</v>
      </c>
      <c r="R10" s="10">
        <v>369</v>
      </c>
      <c r="S10" s="8">
        <f>IFERROR((P10/Q10)*R10,0)</f>
      </c>
      <c r="T10" s="8">
        <f>IFERROR((S10-P10)*((F10-G10)*0.8),0)</f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34</v>
      </c>
      <c r="D11" s="15" t="s">
        <v>58</v>
      </c>
      <c r="E11" s="15" t="s">
        <v>49</v>
      </c>
      <c r="F11" s="15">
        <v>1.221</v>
      </c>
      <c r="G11" s="15">
        <v>1.198</v>
      </c>
      <c r="H11" s="15" t="s">
        <v>45</v>
      </c>
      <c r="I11" s="15" t="s">
        <v>46</v>
      </c>
      <c r="J11" s="15" t="s">
        <v>59</v>
      </c>
      <c r="K11" s="16">
        <f>F11*1.06</f>
      </c>
      <c r="L11" s="17">
        <v>772.7676</v>
      </c>
      <c r="M11" s="18">
        <v>250</v>
      </c>
      <c r="N11" s="18">
        <v>381</v>
      </c>
      <c r="O11" s="19">
        <f>IFERROR((N11-M11)*K11,0)</f>
      </c>
      <c r="P11" s="18">
        <v>154</v>
      </c>
      <c r="Q11" s="18">
        <v>239</v>
      </c>
      <c r="R11" s="18">
        <v>369</v>
      </c>
      <c r="S11" s="16">
        <f>IFERROR((P11/Q11)*R11,0)</f>
      </c>
      <c r="T11" s="16">
        <f>IFERROR((S11-P11)*((F11-G11)*0.8),0)</f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34</v>
      </c>
      <c r="D12" s="7" t="s">
        <v>40</v>
      </c>
      <c r="E12" s="7" t="s">
        <v>41</v>
      </c>
      <c r="F12" s="7">
        <v>1.182</v>
      </c>
      <c r="G12" s="7">
        <v>1.172</v>
      </c>
      <c r="H12" s="7" t="s">
        <v>60</v>
      </c>
      <c r="I12" s="7" t="s">
        <v>38</v>
      </c>
      <c r="J12" s="7" t="s">
        <v>61</v>
      </c>
      <c r="K12" s="8">
        <f>F12*1.06</f>
      </c>
      <c r="L12" s="9">
        <v>442.416</v>
      </c>
      <c r="M12" s="10">
        <v>239</v>
      </c>
      <c r="N12" s="10">
        <v>369</v>
      </c>
      <c r="O12" s="11">
        <f>IFERROR((N12-M12)*K12,0)</f>
      </c>
      <c r="P12" s="10">
        <v>154</v>
      </c>
      <c r="Q12" s="10">
        <v>239</v>
      </c>
      <c r="R12" s="10">
        <v>369</v>
      </c>
      <c r="S12" s="8">
        <f>IFERROR((P12/Q12)*R12,0)</f>
      </c>
      <c r="T12" s="8">
        <f>IFERROR((S12-P12)*((F12-G12)*0.8),0)</f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34</v>
      </c>
      <c r="D13" s="15" t="s">
        <v>62</v>
      </c>
      <c r="E13" s="15" t="s">
        <v>63</v>
      </c>
      <c r="F13" s="15">
        <v>0.096</v>
      </c>
      <c r="G13" s="15">
        <v>0.084</v>
      </c>
      <c r="H13" s="15" t="s">
        <v>60</v>
      </c>
      <c r="I13" s="15" t="s">
        <v>38</v>
      </c>
      <c r="J13" s="15" t="s">
        <v>64</v>
      </c>
      <c r="K13" s="16">
        <f>F13*1.06</f>
      </c>
      <c r="L13" s="17">
        <v>92.56</v>
      </c>
      <c r="M13" s="18">
        <v>239</v>
      </c>
      <c r="N13" s="18">
        <v>369</v>
      </c>
      <c r="O13" s="19">
        <f>IFERROR((N13-M13)*K13,0)</f>
      </c>
      <c r="P13" s="18">
        <v>154</v>
      </c>
      <c r="Q13" s="18">
        <v>239</v>
      </c>
      <c r="R13" s="18">
        <v>369</v>
      </c>
      <c r="S13" s="16">
        <f>IFERROR((P13/Q13)*R13,0)</f>
      </c>
      <c r="T13" s="16">
        <f>IFERROR((S13-P13)*((F13-G13)*0.8),0)</f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34</v>
      </c>
      <c r="D14" s="7" t="s">
        <v>65</v>
      </c>
      <c r="E14" s="7" t="s">
        <v>66</v>
      </c>
      <c r="F14" s="7">
        <v>0.077</v>
      </c>
      <c r="G14" s="7">
        <v>0.069</v>
      </c>
      <c r="H14" s="7" t="s">
        <v>60</v>
      </c>
      <c r="I14" s="7" t="s">
        <v>38</v>
      </c>
      <c r="J14" s="7" t="s">
        <v>67</v>
      </c>
      <c r="K14" s="8">
        <f>F14*1.06</f>
      </c>
      <c r="L14" s="9">
        <v>65.44</v>
      </c>
      <c r="M14" s="10">
        <v>239</v>
      </c>
      <c r="N14" s="10">
        <v>369</v>
      </c>
      <c r="O14" s="11">
        <f>IFERROR((N14-M14)*K14,0)</f>
      </c>
      <c r="P14" s="10">
        <v>154</v>
      </c>
      <c r="Q14" s="10">
        <v>239</v>
      </c>
      <c r="R14" s="10">
        <v>369</v>
      </c>
      <c r="S14" s="8">
        <f>IFERROR((P14/Q14)*R14,0)</f>
      </c>
      <c r="T14" s="8">
        <f>IFERROR((S14-P14)*((F14-G14)*0.8),0)</f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34</v>
      </c>
      <c r="D15" s="15" t="s">
        <v>68</v>
      </c>
      <c r="E15" s="15" t="s">
        <v>69</v>
      </c>
      <c r="F15" s="15">
        <v>0.444</v>
      </c>
      <c r="G15" s="15">
        <v>0.386</v>
      </c>
      <c r="H15" s="15" t="s">
        <v>70</v>
      </c>
      <c r="I15" s="15" t="s">
        <v>71</v>
      </c>
      <c r="J15" s="15" t="s">
        <v>72</v>
      </c>
      <c r="K15" s="16">
        <f>F15*1.06</f>
      </c>
      <c r="L15" s="17">
        <v>226.6513</v>
      </c>
      <c r="M15" s="18">
        <v>231</v>
      </c>
      <c r="N15" s="18">
        <v>377</v>
      </c>
      <c r="O15" s="19">
        <f>IFERROR((N15-M15)*K15,0)</f>
      </c>
      <c r="P15" s="18">
        <v>154</v>
      </c>
      <c r="Q15" s="18">
        <v>239</v>
      </c>
      <c r="R15" s="18">
        <v>369</v>
      </c>
      <c r="S15" s="16">
        <f>IFERROR((P15/Q15)*R15,0)</f>
      </c>
      <c r="T15" s="16">
        <f>IFERROR((S15-P15)*((F15-G15)*0.8),0)</f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34</v>
      </c>
      <c r="D16" s="7" t="s">
        <v>62</v>
      </c>
      <c r="E16" s="7" t="s">
        <v>63</v>
      </c>
      <c r="F16" s="7">
        <v>0.096</v>
      </c>
      <c r="G16" s="7">
        <v>0.084</v>
      </c>
      <c r="H16" s="7" t="s">
        <v>70</v>
      </c>
      <c r="I16" s="7" t="s">
        <v>38</v>
      </c>
      <c r="J16" s="7" t="s">
        <v>73</v>
      </c>
      <c r="K16" s="8">
        <f>F16*1.06</f>
      </c>
      <c r="L16" s="9">
        <v>96.1285</v>
      </c>
      <c r="M16" s="10">
        <v>239</v>
      </c>
      <c r="N16" s="10">
        <v>369</v>
      </c>
      <c r="O16" s="11">
        <f>IFERROR((N16-M16)*K16,0)</f>
      </c>
      <c r="P16" s="10">
        <v>154</v>
      </c>
      <c r="Q16" s="10">
        <v>239</v>
      </c>
      <c r="R16" s="10">
        <v>369</v>
      </c>
      <c r="S16" s="8">
        <f>IFERROR((P16/Q16)*R16,0)</f>
      </c>
      <c r="T16" s="8">
        <f>IFERROR((S16-P16)*((F16-G16)*0.8),0)</f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34</v>
      </c>
      <c r="D17" s="15" t="s">
        <v>65</v>
      </c>
      <c r="E17" s="15" t="s">
        <v>66</v>
      </c>
      <c r="F17" s="15">
        <v>0.077</v>
      </c>
      <c r="G17" s="15">
        <v>0.069</v>
      </c>
      <c r="H17" s="15" t="s">
        <v>70</v>
      </c>
      <c r="I17" s="15" t="s">
        <v>38</v>
      </c>
      <c r="J17" s="15" t="s">
        <v>74</v>
      </c>
      <c r="K17" s="16">
        <f>F17*1.06</f>
      </c>
      <c r="L17" s="17">
        <v>70.8166</v>
      </c>
      <c r="M17" s="18">
        <v>239</v>
      </c>
      <c r="N17" s="18">
        <v>369</v>
      </c>
      <c r="O17" s="19">
        <f>IFERROR((N17-M17)*K17,0)</f>
      </c>
      <c r="P17" s="18">
        <v>154</v>
      </c>
      <c r="Q17" s="18">
        <v>239</v>
      </c>
      <c r="R17" s="18">
        <v>369</v>
      </c>
      <c r="S17" s="16">
        <f>IFERROR((P17/Q17)*R17,0)</f>
      </c>
      <c r="T17" s="16">
        <f>IFERROR((S17-P17)*((F17-G17)*0.8),0)</f>
      </c>
      <c r="U17" s="20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34</v>
      </c>
      <c r="D18" s="7" t="s">
        <v>75</v>
      </c>
      <c r="E18" s="7" t="s">
        <v>76</v>
      </c>
      <c r="F18" s="7">
        <v>2.724</v>
      </c>
      <c r="G18" s="7">
        <v>2.66</v>
      </c>
      <c r="H18" s="7" t="s">
        <v>70</v>
      </c>
      <c r="I18" s="7" t="s">
        <v>71</v>
      </c>
      <c r="J18" s="7" t="s">
        <v>77</v>
      </c>
      <c r="K18" s="8">
        <f>F18*1.06</f>
      </c>
      <c r="L18" s="9">
        <v>1317.1889</v>
      </c>
      <c r="M18" s="10">
        <v>231</v>
      </c>
      <c r="N18" s="10">
        <v>377</v>
      </c>
      <c r="O18" s="11">
        <f>IFERROR((N18-M18)*K18,0)</f>
      </c>
      <c r="P18" s="10">
        <v>154</v>
      </c>
      <c r="Q18" s="10">
        <v>239</v>
      </c>
      <c r="R18" s="10">
        <v>369</v>
      </c>
      <c r="S18" s="8">
        <f>IFERROR((P18/Q18)*R18,0)</f>
      </c>
      <c r="T18" s="8">
        <f>IFERROR((S18-P18)*((F18-G18)*0.8),0)</f>
      </c>
      <c r="U18" s="12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34</v>
      </c>
      <c r="D19" s="15" t="s">
        <v>78</v>
      </c>
      <c r="E19" s="15" t="s">
        <v>79</v>
      </c>
      <c r="F19" s="15">
        <v>0.268</v>
      </c>
      <c r="G19" s="15">
        <v>0.254</v>
      </c>
      <c r="H19" s="15" t="s">
        <v>70</v>
      </c>
      <c r="I19" s="15" t="s">
        <v>38</v>
      </c>
      <c r="J19" s="15" t="s">
        <v>80</v>
      </c>
      <c r="K19" s="16">
        <f>F19*1.06</f>
      </c>
      <c r="L19" s="17">
        <v>191.4972</v>
      </c>
      <c r="M19" s="18">
        <v>239</v>
      </c>
      <c r="N19" s="18">
        <v>369</v>
      </c>
      <c r="O19" s="19">
        <f>IFERROR((N19-M19)*K19,0)</f>
      </c>
      <c r="P19" s="18">
        <v>154</v>
      </c>
      <c r="Q19" s="18">
        <v>239</v>
      </c>
      <c r="R19" s="18">
        <v>369</v>
      </c>
      <c r="S19" s="16">
        <f>IFERROR((P19/Q19)*R19,0)</f>
      </c>
      <c r="T19" s="16">
        <f>IFERROR((S19-P19)*((F19-G19)*0.8),0)</f>
      </c>
      <c r="U19" s="20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34</v>
      </c>
      <c r="D20" s="7" t="s">
        <v>81</v>
      </c>
      <c r="E20" s="7" t="s">
        <v>82</v>
      </c>
      <c r="F20" s="7">
        <v>1.068</v>
      </c>
      <c r="G20" s="7">
        <v>1.068</v>
      </c>
      <c r="H20" s="7" t="s">
        <v>83</v>
      </c>
      <c r="I20" s="7" t="s">
        <v>71</v>
      </c>
      <c r="J20" s="7" t="s">
        <v>84</v>
      </c>
      <c r="K20" s="8">
        <f>F20*1.06</f>
      </c>
      <c r="L20" s="9">
        <v>435.3338</v>
      </c>
      <c r="M20" s="10">
        <v>231</v>
      </c>
      <c r="N20" s="10">
        <v>377</v>
      </c>
      <c r="O20" s="11">
        <f>IFERROR((N20-M20)*K20,0)</f>
      </c>
      <c r="P20" s="23" t="s">
        <v>85</v>
      </c>
      <c r="Q20" s="23" t="s">
        <v>85</v>
      </c>
      <c r="R20" s="23" t="s">
        <v>85</v>
      </c>
      <c r="S20" s="23" t="s">
        <v>85</v>
      </c>
      <c r="T20" s="8">
        <v>0</v>
      </c>
      <c r="U20" s="12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34</v>
      </c>
      <c r="D21" s="15" t="s">
        <v>86</v>
      </c>
      <c r="E21" s="15" t="s">
        <v>87</v>
      </c>
      <c r="F21" s="15">
        <v>1.12</v>
      </c>
      <c r="G21" s="15">
        <v>1.1</v>
      </c>
      <c r="H21" s="15" t="s">
        <v>83</v>
      </c>
      <c r="I21" s="15" t="s">
        <v>71</v>
      </c>
      <c r="J21" s="15" t="s">
        <v>88</v>
      </c>
      <c r="K21" s="16">
        <f>F21*1.06</f>
      </c>
      <c r="L21" s="17">
        <v>574.7943</v>
      </c>
      <c r="M21" s="18">
        <v>231</v>
      </c>
      <c r="N21" s="18">
        <v>377</v>
      </c>
      <c r="O21" s="19">
        <f>IFERROR((N21-M21)*K21,0)</f>
      </c>
      <c r="P21" s="18">
        <v>154</v>
      </c>
      <c r="Q21" s="18">
        <v>239</v>
      </c>
      <c r="R21" s="18">
        <v>369</v>
      </c>
      <c r="S21" s="16">
        <f>IFERROR((P21/Q21)*R21,0)</f>
      </c>
      <c r="T21" s="16">
        <f>IFERROR((S21-P21)*((F21-G21)*0.8),0)</f>
      </c>
      <c r="U21" s="20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34</v>
      </c>
      <c r="D22" s="7" t="s">
        <v>89</v>
      </c>
      <c r="E22" s="7" t="s">
        <v>82</v>
      </c>
      <c r="F22" s="7">
        <v>1.12</v>
      </c>
      <c r="G22" s="7">
        <v>1.1</v>
      </c>
      <c r="H22" s="7" t="s">
        <v>83</v>
      </c>
      <c r="I22" s="7" t="s">
        <v>71</v>
      </c>
      <c r="J22" s="7" t="s">
        <v>90</v>
      </c>
      <c r="K22" s="8">
        <f>F22*1.06</f>
      </c>
      <c r="L22" s="9">
        <v>571.4443</v>
      </c>
      <c r="M22" s="10">
        <v>231</v>
      </c>
      <c r="N22" s="10">
        <v>377</v>
      </c>
      <c r="O22" s="11">
        <f>IFERROR((N22-M22)*K22,0)</f>
      </c>
      <c r="P22" s="10">
        <v>154</v>
      </c>
      <c r="Q22" s="10">
        <v>239</v>
      </c>
      <c r="R22" s="10">
        <v>369</v>
      </c>
      <c r="S22" s="8">
        <f>IFERROR((P22/Q22)*R22,0)</f>
      </c>
      <c r="T22" s="8">
        <f>IFERROR((S22-P22)*((F22-G22)*0.8),0)</f>
      </c>
      <c r="U22" s="12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34</v>
      </c>
      <c r="D23" s="15" t="s">
        <v>91</v>
      </c>
      <c r="E23" s="15" t="s">
        <v>92</v>
      </c>
      <c r="F23" s="15">
        <v>1.12</v>
      </c>
      <c r="G23" s="15">
        <v>1.092</v>
      </c>
      <c r="H23" s="15" t="s">
        <v>83</v>
      </c>
      <c r="I23" s="15" t="s">
        <v>71</v>
      </c>
      <c r="J23" s="15" t="s">
        <v>93</v>
      </c>
      <c r="K23" s="16">
        <f>F23*1.06</f>
      </c>
      <c r="L23" s="17">
        <v>570.9698</v>
      </c>
      <c r="M23" s="18">
        <v>231</v>
      </c>
      <c r="N23" s="18">
        <v>377</v>
      </c>
      <c r="O23" s="19">
        <f>IFERROR((N23-M23)*K23,0)</f>
      </c>
      <c r="P23" s="18">
        <v>154</v>
      </c>
      <c r="Q23" s="18">
        <v>239</v>
      </c>
      <c r="R23" s="18">
        <v>369</v>
      </c>
      <c r="S23" s="16">
        <f>IFERROR((P23/Q23)*R23,0)</f>
      </c>
      <c r="T23" s="16">
        <f>IFERROR((S23-P23)*((F23-G23)*0.8),0)</f>
      </c>
      <c r="U23" s="20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34</v>
      </c>
      <c r="D24" s="7" t="s">
        <v>94</v>
      </c>
      <c r="E24" s="7" t="s">
        <v>95</v>
      </c>
      <c r="F24" s="7">
        <v>1.22</v>
      </c>
      <c r="G24" s="7">
        <v>1.22</v>
      </c>
      <c r="H24" s="7" t="s">
        <v>83</v>
      </c>
      <c r="I24" s="7" t="s">
        <v>71</v>
      </c>
      <c r="J24" s="7" t="s">
        <v>96</v>
      </c>
      <c r="K24" s="8">
        <f>F24*1.06</f>
      </c>
      <c r="L24" s="9">
        <v>472.3976</v>
      </c>
      <c r="M24" s="10">
        <v>231</v>
      </c>
      <c r="N24" s="10">
        <v>377</v>
      </c>
      <c r="O24" s="11">
        <f>IFERROR((N24-M24)*K24,0)</f>
      </c>
      <c r="P24" s="23" t="s">
        <v>85</v>
      </c>
      <c r="Q24" s="23" t="s">
        <v>85</v>
      </c>
      <c r="R24" s="23" t="s">
        <v>85</v>
      </c>
      <c r="S24" s="23" t="s">
        <v>85</v>
      </c>
      <c r="T24" s="8">
        <v>0</v>
      </c>
      <c r="U24" s="12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34</v>
      </c>
      <c r="D25" s="15" t="s">
        <v>97</v>
      </c>
      <c r="E25" s="15" t="s">
        <v>82</v>
      </c>
      <c r="F25" s="15">
        <v>1.33</v>
      </c>
      <c r="G25" s="15">
        <v>1.33</v>
      </c>
      <c r="H25" s="15" t="s">
        <v>83</v>
      </c>
      <c r="I25" s="15" t="s">
        <v>71</v>
      </c>
      <c r="J25" s="15" t="s">
        <v>98</v>
      </c>
      <c r="K25" s="16">
        <f>F25*1.06</f>
      </c>
      <c r="L25" s="17">
        <v>549.4464</v>
      </c>
      <c r="M25" s="18">
        <v>231</v>
      </c>
      <c r="N25" s="18">
        <v>377</v>
      </c>
      <c r="O25" s="19">
        <f>IFERROR((N25-M25)*K25,0)</f>
      </c>
      <c r="P25" s="24" t="s">
        <v>85</v>
      </c>
      <c r="Q25" s="24" t="s">
        <v>85</v>
      </c>
      <c r="R25" s="24" t="s">
        <v>85</v>
      </c>
      <c r="S25" s="24" t="s">
        <v>85</v>
      </c>
      <c r="T25" s="16">
        <v>0</v>
      </c>
      <c r="U25" s="20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34</v>
      </c>
      <c r="D26" s="7" t="s">
        <v>99</v>
      </c>
      <c r="E26" s="7" t="s">
        <v>100</v>
      </c>
      <c r="F26" s="7">
        <v>1.12</v>
      </c>
      <c r="G26" s="7">
        <v>1.12</v>
      </c>
      <c r="H26" s="7" t="s">
        <v>83</v>
      </c>
      <c r="I26" s="7" t="s">
        <v>71</v>
      </c>
      <c r="J26" s="7" t="s">
        <v>101</v>
      </c>
      <c r="K26" s="8">
        <f>F26*1.06</f>
      </c>
      <c r="L26" s="9">
        <v>457.1306</v>
      </c>
      <c r="M26" s="10">
        <v>231</v>
      </c>
      <c r="N26" s="10">
        <v>377</v>
      </c>
      <c r="O26" s="11">
        <f>IFERROR((N26-M26)*K26,0)</f>
      </c>
      <c r="P26" s="23" t="s">
        <v>85</v>
      </c>
      <c r="Q26" s="23" t="s">
        <v>85</v>
      </c>
      <c r="R26" s="23" t="s">
        <v>85</v>
      </c>
      <c r="S26" s="23" t="s">
        <v>85</v>
      </c>
      <c r="T26" s="8">
        <v>0</v>
      </c>
      <c r="U26" s="12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34</v>
      </c>
      <c r="D27" s="15" t="s">
        <v>102</v>
      </c>
      <c r="E27" s="15" t="s">
        <v>103</v>
      </c>
      <c r="F27" s="15">
        <v>1.042</v>
      </c>
      <c r="G27" s="15">
        <v>1.042</v>
      </c>
      <c r="H27" s="15" t="s">
        <v>83</v>
      </c>
      <c r="I27" s="15" t="s">
        <v>38</v>
      </c>
      <c r="J27" s="15" t="s">
        <v>104</v>
      </c>
      <c r="K27" s="16">
        <f>F27*1.06</f>
      </c>
      <c r="L27" s="17">
        <v>442.9715</v>
      </c>
      <c r="M27" s="18">
        <v>239</v>
      </c>
      <c r="N27" s="18">
        <v>369</v>
      </c>
      <c r="O27" s="19">
        <f>IFERROR((N27-M27)*K27,0)</f>
      </c>
      <c r="P27" s="24" t="s">
        <v>85</v>
      </c>
      <c r="Q27" s="24" t="s">
        <v>85</v>
      </c>
      <c r="R27" s="24" t="s">
        <v>85</v>
      </c>
      <c r="S27" s="24" t="s">
        <v>85</v>
      </c>
      <c r="T27" s="16">
        <v>0</v>
      </c>
      <c r="U27" s="20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34</v>
      </c>
      <c r="D28" s="7" t="s">
        <v>105</v>
      </c>
      <c r="E28" s="7" t="s">
        <v>82</v>
      </c>
      <c r="F28" s="7">
        <v>1.383</v>
      </c>
      <c r="G28" s="7">
        <v>1.383</v>
      </c>
      <c r="H28" s="7" t="s">
        <v>83</v>
      </c>
      <c r="I28" s="7" t="s">
        <v>71</v>
      </c>
      <c r="J28" s="7" t="s">
        <v>106</v>
      </c>
      <c r="K28" s="8">
        <f>F28*1.06</f>
      </c>
      <c r="L28" s="9">
        <v>549.6274</v>
      </c>
      <c r="M28" s="10">
        <v>231</v>
      </c>
      <c r="N28" s="10">
        <v>377</v>
      </c>
      <c r="O28" s="11">
        <f>IFERROR((N28-M28)*K28,0)</f>
      </c>
      <c r="P28" s="23" t="s">
        <v>85</v>
      </c>
      <c r="Q28" s="23" t="s">
        <v>85</v>
      </c>
      <c r="R28" s="23" t="s">
        <v>85</v>
      </c>
      <c r="S28" s="23" t="s">
        <v>85</v>
      </c>
      <c r="T28" s="8">
        <v>0</v>
      </c>
      <c r="U28" s="12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34</v>
      </c>
      <c r="D29" s="15" t="s">
        <v>107</v>
      </c>
      <c r="E29" s="15" t="s">
        <v>108</v>
      </c>
      <c r="F29" s="15">
        <v>1.521</v>
      </c>
      <c r="G29" s="15">
        <v>1.521</v>
      </c>
      <c r="H29" s="15" t="s">
        <v>83</v>
      </c>
      <c r="I29" s="15" t="s">
        <v>71</v>
      </c>
      <c r="J29" s="15" t="s">
        <v>109</v>
      </c>
      <c r="K29" s="16">
        <f>F29*1.06</f>
      </c>
      <c r="L29" s="17">
        <v>569.7329</v>
      </c>
      <c r="M29" s="18">
        <v>231</v>
      </c>
      <c r="N29" s="18">
        <v>377</v>
      </c>
      <c r="O29" s="19">
        <f>IFERROR((N29-M29)*K29,0)</f>
      </c>
      <c r="P29" s="24" t="s">
        <v>85</v>
      </c>
      <c r="Q29" s="24" t="s">
        <v>85</v>
      </c>
      <c r="R29" s="24" t="s">
        <v>85</v>
      </c>
      <c r="S29" s="24" t="s">
        <v>85</v>
      </c>
      <c r="T29" s="16">
        <v>0</v>
      </c>
      <c r="U29" s="20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34</v>
      </c>
      <c r="D30" s="7" t="s">
        <v>110</v>
      </c>
      <c r="E30" s="7" t="s">
        <v>111</v>
      </c>
      <c r="F30" s="7">
        <v>1.25</v>
      </c>
      <c r="G30" s="7">
        <v>1.25</v>
      </c>
      <c r="H30" s="7" t="s">
        <v>83</v>
      </c>
      <c r="I30" s="7" t="s">
        <v>71</v>
      </c>
      <c r="J30" s="7" t="s">
        <v>112</v>
      </c>
      <c r="K30" s="8">
        <f>F30*1.06</f>
      </c>
      <c r="L30" s="9">
        <v>488.2928</v>
      </c>
      <c r="M30" s="10">
        <v>231</v>
      </c>
      <c r="N30" s="10">
        <v>377</v>
      </c>
      <c r="O30" s="11">
        <f>IFERROR((N30-M30)*K30,0)</f>
      </c>
      <c r="P30" s="23" t="s">
        <v>85</v>
      </c>
      <c r="Q30" s="23" t="s">
        <v>85</v>
      </c>
      <c r="R30" s="23" t="s">
        <v>85</v>
      </c>
      <c r="S30" s="23" t="s">
        <v>85</v>
      </c>
      <c r="T30" s="8">
        <v>0</v>
      </c>
      <c r="U30" s="12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34</v>
      </c>
      <c r="D31" s="15" t="s">
        <v>113</v>
      </c>
      <c r="E31" s="15" t="s">
        <v>114</v>
      </c>
      <c r="F31" s="15">
        <v>1.25</v>
      </c>
      <c r="G31" s="15">
        <v>1.25</v>
      </c>
      <c r="H31" s="15" t="s">
        <v>83</v>
      </c>
      <c r="I31" s="15" t="s">
        <v>71</v>
      </c>
      <c r="J31" s="15" t="s">
        <v>115</v>
      </c>
      <c r="K31" s="16">
        <f>F31*1.06</f>
      </c>
      <c r="L31" s="17">
        <v>479.8628</v>
      </c>
      <c r="M31" s="18">
        <v>231</v>
      </c>
      <c r="N31" s="18">
        <v>377</v>
      </c>
      <c r="O31" s="19">
        <f>IFERROR((N31-M31)*K31,0)</f>
      </c>
      <c r="P31" s="24" t="s">
        <v>85</v>
      </c>
      <c r="Q31" s="24" t="s">
        <v>85</v>
      </c>
      <c r="R31" s="24" t="s">
        <v>85</v>
      </c>
      <c r="S31" s="24" t="s">
        <v>85</v>
      </c>
      <c r="T31" s="16">
        <v>0</v>
      </c>
      <c r="U31" s="20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34</v>
      </c>
      <c r="D32" s="7" t="s">
        <v>116</v>
      </c>
      <c r="E32" s="7" t="s">
        <v>117</v>
      </c>
      <c r="F32" s="7">
        <v>0.322</v>
      </c>
      <c r="G32" s="7">
        <v>0.29</v>
      </c>
      <c r="H32" s="7" t="s">
        <v>83</v>
      </c>
      <c r="I32" s="7" t="s">
        <v>38</v>
      </c>
      <c r="J32" s="7" t="s">
        <v>118</v>
      </c>
      <c r="K32" s="8">
        <f>F32*1.06</f>
      </c>
      <c r="L32" s="9">
        <v>162.9647</v>
      </c>
      <c r="M32" s="10">
        <v>239</v>
      </c>
      <c r="N32" s="10">
        <v>369</v>
      </c>
      <c r="O32" s="11">
        <f>IFERROR((N32-M32)*K32,0)</f>
      </c>
      <c r="P32" s="10">
        <v>154</v>
      </c>
      <c r="Q32" s="10">
        <v>239</v>
      </c>
      <c r="R32" s="10">
        <v>369</v>
      </c>
      <c r="S32" s="8">
        <f>IFERROR((P32/Q32)*R32,0)</f>
      </c>
      <c r="T32" s="8">
        <f>IFERROR((S32-P32)*((F32-G32)*0.8),0)</f>
      </c>
      <c r="U32" s="12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34</v>
      </c>
      <c r="D33" s="15" t="s">
        <v>119</v>
      </c>
      <c r="E33" s="15" t="s">
        <v>120</v>
      </c>
      <c r="F33" s="15">
        <v>0.361</v>
      </c>
      <c r="G33" s="15">
        <v>0.321</v>
      </c>
      <c r="H33" s="15" t="s">
        <v>83</v>
      </c>
      <c r="I33" s="15" t="s">
        <v>38</v>
      </c>
      <c r="J33" s="15" t="s">
        <v>121</v>
      </c>
      <c r="K33" s="16">
        <f>F33*1.06</f>
      </c>
      <c r="L33" s="17">
        <v>171.4928</v>
      </c>
      <c r="M33" s="18">
        <v>239</v>
      </c>
      <c r="N33" s="18">
        <v>369</v>
      </c>
      <c r="O33" s="19">
        <f>IFERROR((N33-M33)*K33,0)</f>
      </c>
      <c r="P33" s="18">
        <v>154</v>
      </c>
      <c r="Q33" s="18">
        <v>239</v>
      </c>
      <c r="R33" s="18">
        <v>369</v>
      </c>
      <c r="S33" s="16">
        <f>IFERROR((P33/Q33)*R33,0)</f>
      </c>
      <c r="T33" s="16">
        <f>IFERROR((S33-P33)*((F33-G33)*0.8),0)</f>
      </c>
      <c r="U33" s="20">
        <f>ROUND(L33+O33-T33,2)</f>
      </c>
      <c r="V33" s="21">
        <v>0</v>
      </c>
      <c r="W33" s="22">
        <f>(U33-L33)*V33/100000</f>
      </c>
    </row>
    <row r="34" spans="1:23" x14ac:dyDescent="0.25">
      <c r="A34" s="25" t="s">
        <v>122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6">
        <f>SUM(V4:V33)</f>
      </c>
      <c r="W34" s="27">
        <f>SUM(W4:W33)</f>
      </c>
    </row>
  </sheetData>
  <autoFilter ref="A3:W33"/>
  <mergeCells count="3">
    <mergeCell ref="A1:W1"/>
    <mergeCell ref="A2:D2"/>
    <mergeCell ref="A34:U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34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123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W34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34</v>
      </c>
      <c r="D4" s="7" t="s">
        <v>35</v>
      </c>
      <c r="E4" s="7" t="s">
        <v>36</v>
      </c>
      <c r="F4" s="7">
        <v>0.358</v>
      </c>
      <c r="G4" s="7">
        <v>0.327</v>
      </c>
      <c r="H4" s="7" t="s">
        <v>37</v>
      </c>
      <c r="I4" s="7" t="s">
        <v>38</v>
      </c>
      <c r="J4" s="7" t="s">
        <v>39</v>
      </c>
      <c r="K4" s="8">
        <f>F4*1.06</f>
      </c>
      <c r="L4" s="9">
        <v>260.13</v>
      </c>
      <c r="M4" s="28">
        <v>369</v>
      </c>
      <c r="N4" s="28"/>
      <c r="O4" s="29">
        <f>IFERROR((N4-M4)*K4,0)</f>
      </c>
      <c r="P4" s="28">
        <v>237.76569037656904</v>
      </c>
      <c r="Q4" s="28">
        <v>369</v>
      </c>
      <c r="R4" s="28"/>
      <c r="S4" s="30">
        <f>IFERROR((P4/Q4)*R4,0)</f>
      </c>
      <c r="T4" s="30">
        <f>IFERROR((S4-P4)*((F4-G4)*0.8),0)</f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34</v>
      </c>
      <c r="D5" s="15" t="s">
        <v>40</v>
      </c>
      <c r="E5" s="15" t="s">
        <v>41</v>
      </c>
      <c r="F5" s="15">
        <v>1.182</v>
      </c>
      <c r="G5" s="15">
        <v>1.172</v>
      </c>
      <c r="H5" s="15" t="s">
        <v>37</v>
      </c>
      <c r="I5" s="15" t="s">
        <v>38</v>
      </c>
      <c r="J5" s="15" t="s">
        <v>42</v>
      </c>
      <c r="K5" s="16">
        <f>F5*1.06</f>
      </c>
      <c r="L5" s="17">
        <v>604.62</v>
      </c>
      <c r="M5" s="32">
        <v>369</v>
      </c>
      <c r="N5" s="32"/>
      <c r="O5" s="33">
        <f>IFERROR((N5-M5)*K5,0)</f>
      </c>
      <c r="P5" s="32">
        <v>237.76569037656904</v>
      </c>
      <c r="Q5" s="32">
        <v>369</v>
      </c>
      <c r="R5" s="32"/>
      <c r="S5" s="34">
        <f>IFERROR((P5/Q5)*R5,0)</f>
      </c>
      <c r="T5" s="34">
        <f>IFERROR((S5-P5)*((F5-G5)*0.8),0)</f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34</v>
      </c>
      <c r="D6" s="7" t="s">
        <v>43</v>
      </c>
      <c r="E6" s="7" t="s">
        <v>44</v>
      </c>
      <c r="F6" s="7">
        <v>1.213</v>
      </c>
      <c r="G6" s="7">
        <v>1.115</v>
      </c>
      <c r="H6" s="7" t="s">
        <v>45</v>
      </c>
      <c r="I6" s="7" t="s">
        <v>46</v>
      </c>
      <c r="J6" s="7" t="s">
        <v>47</v>
      </c>
      <c r="K6" s="8">
        <f>F6*1.06</f>
      </c>
      <c r="L6" s="9">
        <v>930.09</v>
      </c>
      <c r="M6" s="28">
        <v>381</v>
      </c>
      <c r="N6" s="28"/>
      <c r="O6" s="29">
        <f>IFERROR((N6-M6)*K6,0)</f>
      </c>
      <c r="P6" s="28">
        <v>237.76569037656904</v>
      </c>
      <c r="Q6" s="28">
        <v>369</v>
      </c>
      <c r="R6" s="28"/>
      <c r="S6" s="30">
        <f>IFERROR((P6/Q6)*R6,0)</f>
      </c>
      <c r="T6" s="30">
        <f>IFERROR((S6-P6)*((F6-G6)*0.8),0)</f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34</v>
      </c>
      <c r="D7" s="15" t="s">
        <v>48</v>
      </c>
      <c r="E7" s="15" t="s">
        <v>49</v>
      </c>
      <c r="F7" s="15">
        <v>1.234</v>
      </c>
      <c r="G7" s="15">
        <v>1.212</v>
      </c>
      <c r="H7" s="15" t="s">
        <v>45</v>
      </c>
      <c r="I7" s="15" t="s">
        <v>46</v>
      </c>
      <c r="J7" s="15" t="s">
        <v>50</v>
      </c>
      <c r="K7" s="16">
        <f>F7*1.06</f>
      </c>
      <c r="L7" s="17">
        <v>938.33</v>
      </c>
      <c r="M7" s="32">
        <v>381</v>
      </c>
      <c r="N7" s="32"/>
      <c r="O7" s="33">
        <f>IFERROR((N7-M7)*K7,0)</f>
      </c>
      <c r="P7" s="32">
        <v>237.76569037656904</v>
      </c>
      <c r="Q7" s="32">
        <v>369</v>
      </c>
      <c r="R7" s="32"/>
      <c r="S7" s="34">
        <f>IFERROR((P7/Q7)*R7,0)</f>
      </c>
      <c r="T7" s="34">
        <f>IFERROR((S7-P7)*((F7-G7)*0.8),0)</f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34</v>
      </c>
      <c r="D8" s="7" t="s">
        <v>51</v>
      </c>
      <c r="E8" s="7" t="s">
        <v>44</v>
      </c>
      <c r="F8" s="7">
        <v>1.185</v>
      </c>
      <c r="G8" s="7">
        <v>1.131</v>
      </c>
      <c r="H8" s="7" t="s">
        <v>45</v>
      </c>
      <c r="I8" s="7" t="s">
        <v>46</v>
      </c>
      <c r="J8" s="7" t="s">
        <v>52</v>
      </c>
      <c r="K8" s="8">
        <f>F8*1.06</f>
      </c>
      <c r="L8" s="9">
        <v>918.75</v>
      </c>
      <c r="M8" s="28">
        <v>381</v>
      </c>
      <c r="N8" s="28"/>
      <c r="O8" s="29">
        <f>IFERROR((N8-M8)*K8,0)</f>
      </c>
      <c r="P8" s="28">
        <v>237.76569037656904</v>
      </c>
      <c r="Q8" s="28">
        <v>369</v>
      </c>
      <c r="R8" s="28"/>
      <c r="S8" s="30">
        <f>IFERROR((P8/Q8)*R8,0)</f>
      </c>
      <c r="T8" s="30">
        <f>IFERROR((S8-P8)*((F8-G8)*0.8),0)</f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34</v>
      </c>
      <c r="D9" s="15" t="s">
        <v>53</v>
      </c>
      <c r="E9" s="15" t="s">
        <v>41</v>
      </c>
      <c r="F9" s="15">
        <v>0.973</v>
      </c>
      <c r="G9" s="15">
        <v>0.964</v>
      </c>
      <c r="H9" s="15" t="s">
        <v>54</v>
      </c>
      <c r="I9" s="15" t="s">
        <v>46</v>
      </c>
      <c r="J9" s="15" t="s">
        <v>55</v>
      </c>
      <c r="K9" s="16">
        <f>F9*1.06</f>
      </c>
      <c r="L9" s="17">
        <v>633.47</v>
      </c>
      <c r="M9" s="32">
        <v>381</v>
      </c>
      <c r="N9" s="32"/>
      <c r="O9" s="33">
        <f>IFERROR((N9-M9)*K9,0)</f>
      </c>
      <c r="P9" s="32">
        <v>237.76569037656904</v>
      </c>
      <c r="Q9" s="32">
        <v>369</v>
      </c>
      <c r="R9" s="32"/>
      <c r="S9" s="34">
        <f>IFERROR((P9/Q9)*R9,0)</f>
      </c>
      <c r="T9" s="34">
        <f>IFERROR((S9-P9)*((F9-G9)*0.8),0)</f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34</v>
      </c>
      <c r="D10" s="7" t="s">
        <v>56</v>
      </c>
      <c r="E10" s="7" t="s">
        <v>44</v>
      </c>
      <c r="F10" s="7">
        <v>1.177</v>
      </c>
      <c r="G10" s="7">
        <v>1.116</v>
      </c>
      <c r="H10" s="7" t="s">
        <v>45</v>
      </c>
      <c r="I10" s="7" t="s">
        <v>46</v>
      </c>
      <c r="J10" s="7" t="s">
        <v>57</v>
      </c>
      <c r="K10" s="8">
        <f>F10*1.06</f>
      </c>
      <c r="L10" s="9">
        <v>926.44</v>
      </c>
      <c r="M10" s="28">
        <v>381</v>
      </c>
      <c r="N10" s="28"/>
      <c r="O10" s="29">
        <f>IFERROR((N10-M10)*K10,0)</f>
      </c>
      <c r="P10" s="28">
        <v>237.76569037656904</v>
      </c>
      <c r="Q10" s="28">
        <v>369</v>
      </c>
      <c r="R10" s="28"/>
      <c r="S10" s="30">
        <f>IFERROR((P10/Q10)*R10,0)</f>
      </c>
      <c r="T10" s="30">
        <f>IFERROR((S10-P10)*((F10-G10)*0.8),0)</f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34</v>
      </c>
      <c r="D11" s="15" t="s">
        <v>58</v>
      </c>
      <c r="E11" s="15" t="s">
        <v>49</v>
      </c>
      <c r="F11" s="15">
        <v>1.221</v>
      </c>
      <c r="G11" s="15">
        <v>1.198</v>
      </c>
      <c r="H11" s="15" t="s">
        <v>45</v>
      </c>
      <c r="I11" s="15" t="s">
        <v>46</v>
      </c>
      <c r="J11" s="15" t="s">
        <v>59</v>
      </c>
      <c r="K11" s="16">
        <f>F11*1.06</f>
      </c>
      <c r="L11" s="17">
        <v>940.78</v>
      </c>
      <c r="M11" s="32">
        <v>381</v>
      </c>
      <c r="N11" s="32"/>
      <c r="O11" s="33">
        <f>IFERROR((N11-M11)*K11,0)</f>
      </c>
      <c r="P11" s="32">
        <v>237.76569037656904</v>
      </c>
      <c r="Q11" s="32">
        <v>369</v>
      </c>
      <c r="R11" s="32"/>
      <c r="S11" s="34">
        <f>IFERROR((P11/Q11)*R11,0)</f>
      </c>
      <c r="T11" s="34">
        <f>IFERROR((S11-P11)*((F11-G11)*0.8),0)</f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34</v>
      </c>
      <c r="D12" s="7" t="s">
        <v>40</v>
      </c>
      <c r="E12" s="7" t="s">
        <v>41</v>
      </c>
      <c r="F12" s="7">
        <v>1.182</v>
      </c>
      <c r="G12" s="7">
        <v>1.172</v>
      </c>
      <c r="H12" s="7" t="s">
        <v>60</v>
      </c>
      <c r="I12" s="7" t="s">
        <v>38</v>
      </c>
      <c r="J12" s="7" t="s">
        <v>61</v>
      </c>
      <c r="K12" s="8">
        <f>F12*1.06</f>
      </c>
      <c r="L12" s="9">
        <v>604.62</v>
      </c>
      <c r="M12" s="28">
        <v>369</v>
      </c>
      <c r="N12" s="28"/>
      <c r="O12" s="29">
        <f>IFERROR((N12-M12)*K12,0)</f>
      </c>
      <c r="P12" s="28">
        <v>237.76569037656904</v>
      </c>
      <c r="Q12" s="28">
        <v>369</v>
      </c>
      <c r="R12" s="28"/>
      <c r="S12" s="30">
        <f>IFERROR((P12/Q12)*R12,0)</f>
      </c>
      <c r="T12" s="30">
        <f>IFERROR((S12-P12)*((F12-G12)*0.8),0)</f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34</v>
      </c>
      <c r="D13" s="15" t="s">
        <v>62</v>
      </c>
      <c r="E13" s="15" t="s">
        <v>63</v>
      </c>
      <c r="F13" s="15">
        <v>0.096</v>
      </c>
      <c r="G13" s="15">
        <v>0.084</v>
      </c>
      <c r="H13" s="15" t="s">
        <v>60</v>
      </c>
      <c r="I13" s="15" t="s">
        <v>38</v>
      </c>
      <c r="J13" s="15" t="s">
        <v>64</v>
      </c>
      <c r="K13" s="16">
        <f>F13*1.06</f>
      </c>
      <c r="L13" s="17">
        <v>104.99</v>
      </c>
      <c r="M13" s="32">
        <v>369</v>
      </c>
      <c r="N13" s="32"/>
      <c r="O13" s="33">
        <f>IFERROR((N13-M13)*K13,0)</f>
      </c>
      <c r="P13" s="32">
        <v>237.76569037656904</v>
      </c>
      <c r="Q13" s="32">
        <v>369</v>
      </c>
      <c r="R13" s="32"/>
      <c r="S13" s="34">
        <f>IFERROR((P13/Q13)*R13,0)</f>
      </c>
      <c r="T13" s="34">
        <f>IFERROR((S13-P13)*((F13-G13)*0.8),0)</f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34</v>
      </c>
      <c r="D14" s="7" t="s">
        <v>65</v>
      </c>
      <c r="E14" s="7" t="s">
        <v>66</v>
      </c>
      <c r="F14" s="7">
        <v>0.077</v>
      </c>
      <c r="G14" s="7">
        <v>0.069</v>
      </c>
      <c r="H14" s="7" t="s">
        <v>60</v>
      </c>
      <c r="I14" s="7" t="s">
        <v>38</v>
      </c>
      <c r="J14" s="7" t="s">
        <v>67</v>
      </c>
      <c r="K14" s="8">
        <f>F14*1.06</f>
      </c>
      <c r="L14" s="9">
        <v>75.51</v>
      </c>
      <c r="M14" s="28">
        <v>369</v>
      </c>
      <c r="N14" s="28"/>
      <c r="O14" s="29">
        <f>IFERROR((N14-M14)*K14,0)</f>
      </c>
      <c r="P14" s="28">
        <v>237.76569037656904</v>
      </c>
      <c r="Q14" s="28">
        <v>369</v>
      </c>
      <c r="R14" s="28"/>
      <c r="S14" s="30">
        <f>IFERROR((P14/Q14)*R14,0)</f>
      </c>
      <c r="T14" s="30">
        <f>IFERROR((S14-P14)*((F14-G14)*0.8),0)</f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34</v>
      </c>
      <c r="D15" s="15" t="s">
        <v>68</v>
      </c>
      <c r="E15" s="15" t="s">
        <v>69</v>
      </c>
      <c r="F15" s="15">
        <v>0.444</v>
      </c>
      <c r="G15" s="15">
        <v>0.386</v>
      </c>
      <c r="H15" s="15" t="s">
        <v>70</v>
      </c>
      <c r="I15" s="15" t="s">
        <v>71</v>
      </c>
      <c r="J15" s="15" t="s">
        <v>72</v>
      </c>
      <c r="K15" s="16">
        <f>F15*1.06</f>
      </c>
      <c r="L15" s="17">
        <v>291.47</v>
      </c>
      <c r="M15" s="32">
        <v>377</v>
      </c>
      <c r="N15" s="32"/>
      <c r="O15" s="33">
        <f>IFERROR((N15-M15)*K15,0)</f>
      </c>
      <c r="P15" s="32">
        <v>237.76569037656904</v>
      </c>
      <c r="Q15" s="32">
        <v>369</v>
      </c>
      <c r="R15" s="32"/>
      <c r="S15" s="34">
        <f>IFERROR((P15/Q15)*R15,0)</f>
      </c>
      <c r="T15" s="34">
        <f>IFERROR((S15-P15)*((F15-G15)*0.8),0)</f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34</v>
      </c>
      <c r="D16" s="7" t="s">
        <v>62</v>
      </c>
      <c r="E16" s="7" t="s">
        <v>63</v>
      </c>
      <c r="F16" s="7">
        <v>0.096</v>
      </c>
      <c r="G16" s="7">
        <v>0.084</v>
      </c>
      <c r="H16" s="7" t="s">
        <v>70</v>
      </c>
      <c r="I16" s="7" t="s">
        <v>38</v>
      </c>
      <c r="J16" s="7" t="s">
        <v>73</v>
      </c>
      <c r="K16" s="8">
        <f>F16*1.06</f>
      </c>
      <c r="L16" s="9">
        <v>108.56</v>
      </c>
      <c r="M16" s="28">
        <v>369</v>
      </c>
      <c r="N16" s="28"/>
      <c r="O16" s="29">
        <f>IFERROR((N16-M16)*K16,0)</f>
      </c>
      <c r="P16" s="28">
        <v>237.76569037656904</v>
      </c>
      <c r="Q16" s="28">
        <v>369</v>
      </c>
      <c r="R16" s="28"/>
      <c r="S16" s="30">
        <f>IFERROR((P16/Q16)*R16,0)</f>
      </c>
      <c r="T16" s="30">
        <f>IFERROR((S16-P16)*((F16-G16)*0.8),0)</f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34</v>
      </c>
      <c r="D17" s="15" t="s">
        <v>65</v>
      </c>
      <c r="E17" s="15" t="s">
        <v>66</v>
      </c>
      <c r="F17" s="15">
        <v>0.077</v>
      </c>
      <c r="G17" s="15">
        <v>0.069</v>
      </c>
      <c r="H17" s="15" t="s">
        <v>70</v>
      </c>
      <c r="I17" s="15" t="s">
        <v>38</v>
      </c>
      <c r="J17" s="15" t="s">
        <v>74</v>
      </c>
      <c r="K17" s="16">
        <f>F17*1.06</f>
      </c>
      <c r="L17" s="17">
        <v>80.89</v>
      </c>
      <c r="M17" s="32">
        <v>369</v>
      </c>
      <c r="N17" s="32"/>
      <c r="O17" s="33">
        <f>IFERROR((N17-M17)*K17,0)</f>
      </c>
      <c r="P17" s="32">
        <v>237.76569037656904</v>
      </c>
      <c r="Q17" s="32">
        <v>369</v>
      </c>
      <c r="R17" s="32"/>
      <c r="S17" s="34">
        <f>IFERROR((P17/Q17)*R17,0)</f>
      </c>
      <c r="T17" s="34">
        <f>IFERROR((S17-P17)*((F17-G17)*0.8),0)</f>
      </c>
      <c r="U17" s="35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34</v>
      </c>
      <c r="D18" s="7" t="s">
        <v>75</v>
      </c>
      <c r="E18" s="7" t="s">
        <v>76</v>
      </c>
      <c r="F18" s="7">
        <v>2.724</v>
      </c>
      <c r="G18" s="7">
        <v>2.66</v>
      </c>
      <c r="H18" s="7" t="s">
        <v>70</v>
      </c>
      <c r="I18" s="7" t="s">
        <v>71</v>
      </c>
      <c r="J18" s="7" t="s">
        <v>77</v>
      </c>
      <c r="K18" s="8">
        <f>F18*1.06</f>
      </c>
      <c r="L18" s="9">
        <v>1734.46</v>
      </c>
      <c r="M18" s="28">
        <v>377</v>
      </c>
      <c r="N18" s="28"/>
      <c r="O18" s="29">
        <f>IFERROR((N18-M18)*K18,0)</f>
      </c>
      <c r="P18" s="28">
        <v>237.76569037656904</v>
      </c>
      <c r="Q18" s="28">
        <v>369</v>
      </c>
      <c r="R18" s="28"/>
      <c r="S18" s="30">
        <f>IFERROR((P18/Q18)*R18,0)</f>
      </c>
      <c r="T18" s="30">
        <f>IFERROR((S18-P18)*((F18-G18)*0.8),0)</f>
      </c>
      <c r="U18" s="31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34</v>
      </c>
      <c r="D19" s="15" t="s">
        <v>78</v>
      </c>
      <c r="E19" s="15" t="s">
        <v>79</v>
      </c>
      <c r="F19" s="15">
        <v>0.268</v>
      </c>
      <c r="G19" s="15">
        <v>0.254</v>
      </c>
      <c r="H19" s="15" t="s">
        <v>70</v>
      </c>
      <c r="I19" s="15" t="s">
        <v>38</v>
      </c>
      <c r="J19" s="15" t="s">
        <v>80</v>
      </c>
      <c r="K19" s="16">
        <f>F19*1.06</f>
      </c>
      <c r="L19" s="17">
        <v>227.49</v>
      </c>
      <c r="M19" s="32">
        <v>369</v>
      </c>
      <c r="N19" s="32"/>
      <c r="O19" s="33">
        <f>IFERROR((N19-M19)*K19,0)</f>
      </c>
      <c r="P19" s="32">
        <v>237.76569037656904</v>
      </c>
      <c r="Q19" s="32">
        <v>369</v>
      </c>
      <c r="R19" s="32"/>
      <c r="S19" s="34">
        <f>IFERROR((P19/Q19)*R19,0)</f>
      </c>
      <c r="T19" s="34">
        <f>IFERROR((S19-P19)*((F19-G19)*0.8),0)</f>
      </c>
      <c r="U19" s="35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34</v>
      </c>
      <c r="D20" s="7" t="s">
        <v>81</v>
      </c>
      <c r="E20" s="7" t="s">
        <v>82</v>
      </c>
      <c r="F20" s="7">
        <v>1.068</v>
      </c>
      <c r="G20" s="7">
        <v>1.068</v>
      </c>
      <c r="H20" s="7" t="s">
        <v>83</v>
      </c>
      <c r="I20" s="7" t="s">
        <v>71</v>
      </c>
      <c r="J20" s="7" t="s">
        <v>84</v>
      </c>
      <c r="K20" s="8">
        <f>F20*1.06</f>
      </c>
      <c r="L20" s="9">
        <v>600.62</v>
      </c>
      <c r="M20" s="28">
        <v>377</v>
      </c>
      <c r="N20" s="28"/>
      <c r="O20" s="29">
        <f>IFERROR((N20-M20)*K20,0)</f>
      </c>
      <c r="P20" s="36" t="s">
        <v>85</v>
      </c>
      <c r="Q20" s="36" t="s">
        <v>85</v>
      </c>
      <c r="R20" s="36" t="s">
        <v>85</v>
      </c>
      <c r="S20" s="36" t="s">
        <v>85</v>
      </c>
      <c r="T20" s="30">
        <v>0</v>
      </c>
      <c r="U20" s="31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34</v>
      </c>
      <c r="D21" s="15" t="s">
        <v>86</v>
      </c>
      <c r="E21" s="15" t="s">
        <v>87</v>
      </c>
      <c r="F21" s="15">
        <v>1.12</v>
      </c>
      <c r="G21" s="15">
        <v>1.1</v>
      </c>
      <c r="H21" s="15" t="s">
        <v>83</v>
      </c>
      <c r="I21" s="15" t="s">
        <v>71</v>
      </c>
      <c r="J21" s="15" t="s">
        <v>88</v>
      </c>
      <c r="K21" s="16">
        <f>F21*1.06</f>
      </c>
      <c r="L21" s="17">
        <v>746.79</v>
      </c>
      <c r="M21" s="32">
        <v>377</v>
      </c>
      <c r="N21" s="32"/>
      <c r="O21" s="33">
        <f>IFERROR((N21-M21)*K21,0)</f>
      </c>
      <c r="P21" s="32">
        <v>237.76569037656904</v>
      </c>
      <c r="Q21" s="32">
        <v>369</v>
      </c>
      <c r="R21" s="32"/>
      <c r="S21" s="34">
        <f>IFERROR((P21/Q21)*R21,0)</f>
      </c>
      <c r="T21" s="34">
        <f>IFERROR((S21-P21)*((F21-G21)*0.8),0)</f>
      </c>
      <c r="U21" s="35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34</v>
      </c>
      <c r="D22" s="7" t="s">
        <v>89</v>
      </c>
      <c r="E22" s="7" t="s">
        <v>82</v>
      </c>
      <c r="F22" s="7">
        <v>1.12</v>
      </c>
      <c r="G22" s="7">
        <v>1.1</v>
      </c>
      <c r="H22" s="7" t="s">
        <v>83</v>
      </c>
      <c r="I22" s="7" t="s">
        <v>71</v>
      </c>
      <c r="J22" s="7" t="s">
        <v>90</v>
      </c>
      <c r="K22" s="8">
        <f>F22*1.06</f>
      </c>
      <c r="L22" s="9">
        <v>743.44</v>
      </c>
      <c r="M22" s="28">
        <v>377</v>
      </c>
      <c r="N22" s="28"/>
      <c r="O22" s="29">
        <f>IFERROR((N22-M22)*K22,0)</f>
      </c>
      <c r="P22" s="28">
        <v>237.76569037656904</v>
      </c>
      <c r="Q22" s="28">
        <v>369</v>
      </c>
      <c r="R22" s="28"/>
      <c r="S22" s="30">
        <f>IFERROR((P22/Q22)*R22,0)</f>
      </c>
      <c r="T22" s="30">
        <f>IFERROR((S22-P22)*((F22-G22)*0.8),0)</f>
      </c>
      <c r="U22" s="31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34</v>
      </c>
      <c r="D23" s="15" t="s">
        <v>91</v>
      </c>
      <c r="E23" s="15" t="s">
        <v>92</v>
      </c>
      <c r="F23" s="15">
        <v>1.12</v>
      </c>
      <c r="G23" s="15">
        <v>1.092</v>
      </c>
      <c r="H23" s="15" t="s">
        <v>83</v>
      </c>
      <c r="I23" s="15" t="s">
        <v>71</v>
      </c>
      <c r="J23" s="15" t="s">
        <v>93</v>
      </c>
      <c r="K23" s="16">
        <f>F23*1.06</f>
      </c>
      <c r="L23" s="17">
        <v>742.42</v>
      </c>
      <c r="M23" s="32">
        <v>377</v>
      </c>
      <c r="N23" s="32"/>
      <c r="O23" s="33">
        <f>IFERROR((N23-M23)*K23,0)</f>
      </c>
      <c r="P23" s="32">
        <v>237.76569037656904</v>
      </c>
      <c r="Q23" s="32">
        <v>369</v>
      </c>
      <c r="R23" s="32"/>
      <c r="S23" s="34">
        <f>IFERROR((P23/Q23)*R23,0)</f>
      </c>
      <c r="T23" s="34">
        <f>IFERROR((S23-P23)*((F23-G23)*0.8),0)</f>
      </c>
      <c r="U23" s="35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34</v>
      </c>
      <c r="D24" s="7" t="s">
        <v>94</v>
      </c>
      <c r="E24" s="7" t="s">
        <v>95</v>
      </c>
      <c r="F24" s="7">
        <v>1.22</v>
      </c>
      <c r="G24" s="7">
        <v>1.22</v>
      </c>
      <c r="H24" s="7" t="s">
        <v>83</v>
      </c>
      <c r="I24" s="7" t="s">
        <v>71</v>
      </c>
      <c r="J24" s="7" t="s">
        <v>96</v>
      </c>
      <c r="K24" s="8">
        <f>F24*1.06</f>
      </c>
      <c r="L24" s="9">
        <v>661.2</v>
      </c>
      <c r="M24" s="28">
        <v>377</v>
      </c>
      <c r="N24" s="28"/>
      <c r="O24" s="29">
        <f>IFERROR((N24-M24)*K24,0)</f>
      </c>
      <c r="P24" s="36" t="s">
        <v>85</v>
      </c>
      <c r="Q24" s="36" t="s">
        <v>85</v>
      </c>
      <c r="R24" s="36" t="s">
        <v>85</v>
      </c>
      <c r="S24" s="36" t="s">
        <v>85</v>
      </c>
      <c r="T24" s="30">
        <v>0</v>
      </c>
      <c r="U24" s="31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34</v>
      </c>
      <c r="D25" s="15" t="s">
        <v>97</v>
      </c>
      <c r="E25" s="15" t="s">
        <v>82</v>
      </c>
      <c r="F25" s="15">
        <v>1.33</v>
      </c>
      <c r="G25" s="15">
        <v>1.33</v>
      </c>
      <c r="H25" s="15" t="s">
        <v>83</v>
      </c>
      <c r="I25" s="15" t="s">
        <v>71</v>
      </c>
      <c r="J25" s="15" t="s">
        <v>98</v>
      </c>
      <c r="K25" s="16">
        <f>F25*1.06</f>
      </c>
      <c r="L25" s="17">
        <v>755.28</v>
      </c>
      <c r="M25" s="32">
        <v>377</v>
      </c>
      <c r="N25" s="32"/>
      <c r="O25" s="33">
        <f>IFERROR((N25-M25)*K25,0)</f>
      </c>
      <c r="P25" s="37" t="s">
        <v>85</v>
      </c>
      <c r="Q25" s="37" t="s">
        <v>85</v>
      </c>
      <c r="R25" s="37" t="s">
        <v>85</v>
      </c>
      <c r="S25" s="37" t="s">
        <v>85</v>
      </c>
      <c r="T25" s="34">
        <v>0</v>
      </c>
      <c r="U25" s="35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34</v>
      </c>
      <c r="D26" s="7" t="s">
        <v>99</v>
      </c>
      <c r="E26" s="7" t="s">
        <v>100</v>
      </c>
      <c r="F26" s="7">
        <v>1.12</v>
      </c>
      <c r="G26" s="7">
        <v>1.12</v>
      </c>
      <c r="H26" s="7" t="s">
        <v>83</v>
      </c>
      <c r="I26" s="7" t="s">
        <v>71</v>
      </c>
      <c r="J26" s="7" t="s">
        <v>101</v>
      </c>
      <c r="K26" s="8">
        <f>F26*1.06</f>
      </c>
      <c r="L26" s="9">
        <v>630.46</v>
      </c>
      <c r="M26" s="28">
        <v>377</v>
      </c>
      <c r="N26" s="28"/>
      <c r="O26" s="29">
        <f>IFERROR((N26-M26)*K26,0)</f>
      </c>
      <c r="P26" s="36" t="s">
        <v>85</v>
      </c>
      <c r="Q26" s="36" t="s">
        <v>85</v>
      </c>
      <c r="R26" s="36" t="s">
        <v>85</v>
      </c>
      <c r="S26" s="36" t="s">
        <v>85</v>
      </c>
      <c r="T26" s="30">
        <v>0</v>
      </c>
      <c r="U26" s="31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34</v>
      </c>
      <c r="D27" s="15" t="s">
        <v>102</v>
      </c>
      <c r="E27" s="15" t="s">
        <v>103</v>
      </c>
      <c r="F27" s="15">
        <v>1.042</v>
      </c>
      <c r="G27" s="15">
        <v>1.042</v>
      </c>
      <c r="H27" s="15" t="s">
        <v>83</v>
      </c>
      <c r="I27" s="15" t="s">
        <v>38</v>
      </c>
      <c r="J27" s="15" t="s">
        <v>104</v>
      </c>
      <c r="K27" s="16">
        <f>F27*1.06</f>
      </c>
      <c r="L27" s="17">
        <v>586.56</v>
      </c>
      <c r="M27" s="32">
        <v>369</v>
      </c>
      <c r="N27" s="32"/>
      <c r="O27" s="33">
        <f>IFERROR((N27-M27)*K27,0)</f>
      </c>
      <c r="P27" s="37" t="s">
        <v>85</v>
      </c>
      <c r="Q27" s="37" t="s">
        <v>85</v>
      </c>
      <c r="R27" s="37" t="s">
        <v>85</v>
      </c>
      <c r="S27" s="37" t="s">
        <v>85</v>
      </c>
      <c r="T27" s="34">
        <v>0</v>
      </c>
      <c r="U27" s="35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34</v>
      </c>
      <c r="D28" s="7" t="s">
        <v>105</v>
      </c>
      <c r="E28" s="7" t="s">
        <v>82</v>
      </c>
      <c r="F28" s="7">
        <v>1.383</v>
      </c>
      <c r="G28" s="7">
        <v>1.383</v>
      </c>
      <c r="H28" s="7" t="s">
        <v>83</v>
      </c>
      <c r="I28" s="7" t="s">
        <v>71</v>
      </c>
      <c r="J28" s="7" t="s">
        <v>106</v>
      </c>
      <c r="K28" s="8">
        <f>F28*1.06</f>
      </c>
      <c r="L28" s="9">
        <v>763.66</v>
      </c>
      <c r="M28" s="28">
        <v>377</v>
      </c>
      <c r="N28" s="28"/>
      <c r="O28" s="29">
        <f>IFERROR((N28-M28)*K28,0)</f>
      </c>
      <c r="P28" s="36" t="s">
        <v>85</v>
      </c>
      <c r="Q28" s="36" t="s">
        <v>85</v>
      </c>
      <c r="R28" s="36" t="s">
        <v>85</v>
      </c>
      <c r="S28" s="36" t="s">
        <v>85</v>
      </c>
      <c r="T28" s="30">
        <v>0</v>
      </c>
      <c r="U28" s="31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34</v>
      </c>
      <c r="D29" s="15" t="s">
        <v>107</v>
      </c>
      <c r="E29" s="15" t="s">
        <v>108</v>
      </c>
      <c r="F29" s="15">
        <v>1.521</v>
      </c>
      <c r="G29" s="15">
        <v>1.521</v>
      </c>
      <c r="H29" s="15" t="s">
        <v>83</v>
      </c>
      <c r="I29" s="15" t="s">
        <v>71</v>
      </c>
      <c r="J29" s="15" t="s">
        <v>109</v>
      </c>
      <c r="K29" s="16">
        <f>F29*1.06</f>
      </c>
      <c r="L29" s="17">
        <v>805.13</v>
      </c>
      <c r="M29" s="32">
        <v>377</v>
      </c>
      <c r="N29" s="32"/>
      <c r="O29" s="33">
        <f>IFERROR((N29-M29)*K29,0)</f>
      </c>
      <c r="P29" s="37" t="s">
        <v>85</v>
      </c>
      <c r="Q29" s="37" t="s">
        <v>85</v>
      </c>
      <c r="R29" s="37" t="s">
        <v>85</v>
      </c>
      <c r="S29" s="37" t="s">
        <v>85</v>
      </c>
      <c r="T29" s="34">
        <v>0</v>
      </c>
      <c r="U29" s="35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34</v>
      </c>
      <c r="D30" s="7" t="s">
        <v>110</v>
      </c>
      <c r="E30" s="7" t="s">
        <v>111</v>
      </c>
      <c r="F30" s="7">
        <v>1.25</v>
      </c>
      <c r="G30" s="7">
        <v>1.25</v>
      </c>
      <c r="H30" s="7" t="s">
        <v>83</v>
      </c>
      <c r="I30" s="7" t="s">
        <v>71</v>
      </c>
      <c r="J30" s="7" t="s">
        <v>112</v>
      </c>
      <c r="K30" s="8">
        <f>F30*1.06</f>
      </c>
      <c r="L30" s="9">
        <v>681.74</v>
      </c>
      <c r="M30" s="28">
        <v>377</v>
      </c>
      <c r="N30" s="28"/>
      <c r="O30" s="29">
        <f>IFERROR((N30-M30)*K30,0)</f>
      </c>
      <c r="P30" s="36" t="s">
        <v>85</v>
      </c>
      <c r="Q30" s="36" t="s">
        <v>85</v>
      </c>
      <c r="R30" s="36" t="s">
        <v>85</v>
      </c>
      <c r="S30" s="36" t="s">
        <v>85</v>
      </c>
      <c r="T30" s="30">
        <v>0</v>
      </c>
      <c r="U30" s="31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34</v>
      </c>
      <c r="D31" s="15" t="s">
        <v>113</v>
      </c>
      <c r="E31" s="15" t="s">
        <v>114</v>
      </c>
      <c r="F31" s="15">
        <v>1.25</v>
      </c>
      <c r="G31" s="15">
        <v>1.25</v>
      </c>
      <c r="H31" s="15" t="s">
        <v>83</v>
      </c>
      <c r="I31" s="15" t="s">
        <v>71</v>
      </c>
      <c r="J31" s="15" t="s">
        <v>115</v>
      </c>
      <c r="K31" s="16">
        <f>F31*1.06</f>
      </c>
      <c r="L31" s="17">
        <v>673.31</v>
      </c>
      <c r="M31" s="32">
        <v>377</v>
      </c>
      <c r="N31" s="32"/>
      <c r="O31" s="33">
        <f>IFERROR((N31-M31)*K31,0)</f>
      </c>
      <c r="P31" s="37" t="s">
        <v>85</v>
      </c>
      <c r="Q31" s="37" t="s">
        <v>85</v>
      </c>
      <c r="R31" s="37" t="s">
        <v>85</v>
      </c>
      <c r="S31" s="37" t="s">
        <v>85</v>
      </c>
      <c r="T31" s="34">
        <v>0</v>
      </c>
      <c r="U31" s="35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34</v>
      </c>
      <c r="D32" s="7" t="s">
        <v>116</v>
      </c>
      <c r="E32" s="7" t="s">
        <v>117</v>
      </c>
      <c r="F32" s="7">
        <v>0.322</v>
      </c>
      <c r="G32" s="7">
        <v>0.29</v>
      </c>
      <c r="H32" s="7" t="s">
        <v>83</v>
      </c>
      <c r="I32" s="7" t="s">
        <v>38</v>
      </c>
      <c r="J32" s="7" t="s">
        <v>118</v>
      </c>
      <c r="K32" s="8">
        <f>F32*1.06</f>
      </c>
      <c r="L32" s="9">
        <v>205.19</v>
      </c>
      <c r="M32" s="28">
        <v>369</v>
      </c>
      <c r="N32" s="28"/>
      <c r="O32" s="29">
        <f>IFERROR((N32-M32)*K32,0)</f>
      </c>
      <c r="P32" s="28">
        <v>237.76569037656904</v>
      </c>
      <c r="Q32" s="28">
        <v>369</v>
      </c>
      <c r="R32" s="28"/>
      <c r="S32" s="30">
        <f>IFERROR((P32/Q32)*R32,0)</f>
      </c>
      <c r="T32" s="30">
        <f>IFERROR((S32-P32)*((F32-G32)*0.8),0)</f>
      </c>
      <c r="U32" s="31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34</v>
      </c>
      <c r="D33" s="15" t="s">
        <v>119</v>
      </c>
      <c r="E33" s="15" t="s">
        <v>120</v>
      </c>
      <c r="F33" s="15">
        <v>0.361</v>
      </c>
      <c r="G33" s="15">
        <v>0.321</v>
      </c>
      <c r="H33" s="15" t="s">
        <v>83</v>
      </c>
      <c r="I33" s="15" t="s">
        <v>38</v>
      </c>
      <c r="J33" s="15" t="s">
        <v>121</v>
      </c>
      <c r="K33" s="16">
        <f>F33*1.06</f>
      </c>
      <c r="L33" s="17">
        <v>218.56</v>
      </c>
      <c r="M33" s="32">
        <v>369</v>
      </c>
      <c r="N33" s="32"/>
      <c r="O33" s="33">
        <f>IFERROR((N33-M33)*K33,0)</f>
      </c>
      <c r="P33" s="32">
        <v>237.76569037656904</v>
      </c>
      <c r="Q33" s="32">
        <v>369</v>
      </c>
      <c r="R33" s="32"/>
      <c r="S33" s="34">
        <f>IFERROR((P33/Q33)*R33,0)</f>
      </c>
      <c r="T33" s="34">
        <f>IFERROR((S33-P33)*((F33-G33)*0.8),0)</f>
      </c>
      <c r="U33" s="35">
        <f>ROUND(L33+O33-T33,2)</f>
      </c>
      <c r="V33" s="21">
        <v>0</v>
      </c>
      <c r="W33" s="22">
        <f>(U33-L33)*V33/100000</f>
      </c>
    </row>
    <row r="34" spans="1:23" x14ac:dyDescent="0.25">
      <c r="A34" s="25" t="s">
        <v>122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6">
        <f>SUM(V4:V33)</f>
      </c>
      <c r="W34" s="27">
        <f>SUM(W4:W33)</f>
      </c>
    </row>
  </sheetData>
  <autoFilter ref="A3:W33"/>
  <mergeCells count="3">
    <mergeCell ref="A1:W1"/>
    <mergeCell ref="A2:D2"/>
    <mergeCell ref="A34:U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86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W86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130</v>
      </c>
      <c r="D4" s="7" t="s">
        <v>131</v>
      </c>
      <c r="E4" s="7" t="s">
        <v>41</v>
      </c>
      <c r="F4" s="7">
        <v>1.22</v>
      </c>
      <c r="G4" s="7">
        <v>1.182</v>
      </c>
      <c r="H4" s="7" t="s">
        <v>37</v>
      </c>
      <c r="I4" s="7" t="s">
        <v>38</v>
      </c>
      <c r="J4" s="7" t="s">
        <v>132</v>
      </c>
      <c r="K4" s="8">
        <f>F4*1.06</f>
      </c>
      <c r="L4" s="9">
        <v>514.9136</v>
      </c>
      <c r="M4" s="10">
        <v>239</v>
      </c>
      <c r="N4" s="10">
        <v>369</v>
      </c>
      <c r="O4" s="11">
        <f>IFERROR((N4-M4)*K4,0)</f>
      </c>
      <c r="P4" s="10">
        <v>154</v>
      </c>
      <c r="Q4" s="10">
        <v>239</v>
      </c>
      <c r="R4" s="10">
        <v>369</v>
      </c>
      <c r="S4" s="8">
        <f>IFERROR((P4/Q4)*R4,0)</f>
      </c>
      <c r="T4" s="8">
        <f>IFERROR((S4-P4)*((F4-G4)*0.8),0)</f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130</v>
      </c>
      <c r="D5" s="15" t="s">
        <v>133</v>
      </c>
      <c r="E5" s="15" t="s">
        <v>134</v>
      </c>
      <c r="F5" s="15">
        <v>0.773</v>
      </c>
      <c r="G5" s="15">
        <v>0.746</v>
      </c>
      <c r="H5" s="15" t="s">
        <v>54</v>
      </c>
      <c r="I5" s="15" t="s">
        <v>38</v>
      </c>
      <c r="J5" s="15" t="s">
        <v>135</v>
      </c>
      <c r="K5" s="16">
        <f>F5*1.06</f>
      </c>
      <c r="L5" s="17">
        <v>371.462</v>
      </c>
      <c r="M5" s="18">
        <v>239</v>
      </c>
      <c r="N5" s="18">
        <v>369</v>
      </c>
      <c r="O5" s="19">
        <f>IFERROR((N5-M5)*K5,0)</f>
      </c>
      <c r="P5" s="18">
        <v>154</v>
      </c>
      <c r="Q5" s="18">
        <v>239</v>
      </c>
      <c r="R5" s="18">
        <v>369</v>
      </c>
      <c r="S5" s="16">
        <f>IFERROR((P5/Q5)*R5,0)</f>
      </c>
      <c r="T5" s="16">
        <f>IFERROR((S5-P5)*((F5-G5)*0.8),0)</f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130</v>
      </c>
      <c r="D6" s="7" t="s">
        <v>136</v>
      </c>
      <c r="E6" s="7" t="s">
        <v>137</v>
      </c>
      <c r="F6" s="7">
        <v>0.254</v>
      </c>
      <c r="G6" s="7">
        <v>0.254</v>
      </c>
      <c r="H6" s="7" t="s">
        <v>54</v>
      </c>
      <c r="I6" s="7" t="s">
        <v>38</v>
      </c>
      <c r="J6" s="7" t="s">
        <v>138</v>
      </c>
      <c r="K6" s="8">
        <f>F6*1.06</f>
      </c>
      <c r="L6" s="9">
        <v>105.9592</v>
      </c>
      <c r="M6" s="10">
        <v>239</v>
      </c>
      <c r="N6" s="10">
        <v>369</v>
      </c>
      <c r="O6" s="11">
        <f>IFERROR((N6-M6)*K6,0)</f>
      </c>
      <c r="P6" s="23" t="s">
        <v>85</v>
      </c>
      <c r="Q6" s="23" t="s">
        <v>85</v>
      </c>
      <c r="R6" s="23" t="s">
        <v>85</v>
      </c>
      <c r="S6" s="23" t="s">
        <v>85</v>
      </c>
      <c r="T6" s="8">
        <v>0</v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130</v>
      </c>
      <c r="D7" s="15" t="s">
        <v>139</v>
      </c>
      <c r="E7" s="15" t="s">
        <v>140</v>
      </c>
      <c r="F7" s="15">
        <v>0.974</v>
      </c>
      <c r="G7" s="15">
        <v>0.964</v>
      </c>
      <c r="H7" s="15" t="s">
        <v>54</v>
      </c>
      <c r="I7" s="15" t="s">
        <v>141</v>
      </c>
      <c r="J7" s="15" t="s">
        <v>142</v>
      </c>
      <c r="K7" s="16">
        <f>F7*1.06</f>
      </c>
      <c r="L7" s="17">
        <v>465.5737</v>
      </c>
      <c r="M7" s="18">
        <v>241</v>
      </c>
      <c r="N7" s="18">
        <v>379</v>
      </c>
      <c r="O7" s="19">
        <f>IFERROR((N7-M7)*K7,0)</f>
      </c>
      <c r="P7" s="18">
        <v>154</v>
      </c>
      <c r="Q7" s="18">
        <v>239</v>
      </c>
      <c r="R7" s="18">
        <v>369</v>
      </c>
      <c r="S7" s="16">
        <f>IFERROR((P7/Q7)*R7,0)</f>
      </c>
      <c r="T7" s="16">
        <f>IFERROR((S7-P7)*((F7-G7)*0.8),0)</f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130</v>
      </c>
      <c r="D8" s="7" t="s">
        <v>143</v>
      </c>
      <c r="E8" s="7" t="s">
        <v>44</v>
      </c>
      <c r="F8" s="7">
        <v>2.41</v>
      </c>
      <c r="G8" s="7">
        <v>2.41</v>
      </c>
      <c r="H8" s="7" t="s">
        <v>45</v>
      </c>
      <c r="I8" s="7" t="s">
        <v>46</v>
      </c>
      <c r="J8" s="7" t="s">
        <v>144</v>
      </c>
      <c r="K8" s="8">
        <f>F8*1.06</f>
      </c>
      <c r="L8" s="9">
        <v>956.3802</v>
      </c>
      <c r="M8" s="10">
        <v>250</v>
      </c>
      <c r="N8" s="10">
        <v>381</v>
      </c>
      <c r="O8" s="11">
        <f>IFERROR((N8-M8)*K8,0)</f>
      </c>
      <c r="P8" s="23" t="s">
        <v>85</v>
      </c>
      <c r="Q8" s="23" t="s">
        <v>85</v>
      </c>
      <c r="R8" s="23" t="s">
        <v>85</v>
      </c>
      <c r="S8" s="23" t="s">
        <v>85</v>
      </c>
      <c r="T8" s="8">
        <v>0</v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130</v>
      </c>
      <c r="D9" s="15" t="s">
        <v>145</v>
      </c>
      <c r="E9" s="15" t="s">
        <v>49</v>
      </c>
      <c r="F9" s="15">
        <v>2.63</v>
      </c>
      <c r="G9" s="15">
        <v>2.63</v>
      </c>
      <c r="H9" s="15" t="s">
        <v>45</v>
      </c>
      <c r="I9" s="15" t="s">
        <v>46</v>
      </c>
      <c r="J9" s="15" t="s">
        <v>146</v>
      </c>
      <c r="K9" s="16">
        <f>F9*1.06</f>
      </c>
      <c r="L9" s="17">
        <v>1031.0076</v>
      </c>
      <c r="M9" s="18">
        <v>250</v>
      </c>
      <c r="N9" s="18">
        <v>381</v>
      </c>
      <c r="O9" s="19">
        <f>IFERROR((N9-M9)*K9,0)</f>
      </c>
      <c r="P9" s="24" t="s">
        <v>85</v>
      </c>
      <c r="Q9" s="24" t="s">
        <v>85</v>
      </c>
      <c r="R9" s="24" t="s">
        <v>85</v>
      </c>
      <c r="S9" s="24" t="s">
        <v>85</v>
      </c>
      <c r="T9" s="16">
        <v>0</v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130</v>
      </c>
      <c r="D10" s="7" t="s">
        <v>147</v>
      </c>
      <c r="E10" s="7" t="s">
        <v>44</v>
      </c>
      <c r="F10" s="7">
        <v>2.543</v>
      </c>
      <c r="G10" s="7">
        <v>2.543</v>
      </c>
      <c r="H10" s="7" t="s">
        <v>45</v>
      </c>
      <c r="I10" s="7" t="s">
        <v>46</v>
      </c>
      <c r="J10" s="7" t="s">
        <v>148</v>
      </c>
      <c r="K10" s="8">
        <f>F10*1.06</f>
      </c>
      <c r="L10" s="9">
        <v>1152.4948</v>
      </c>
      <c r="M10" s="10">
        <v>250</v>
      </c>
      <c r="N10" s="10">
        <v>381</v>
      </c>
      <c r="O10" s="11">
        <f>IFERROR((N10-M10)*K10,0)</f>
      </c>
      <c r="P10" s="23" t="s">
        <v>85</v>
      </c>
      <c r="Q10" s="23" t="s">
        <v>85</v>
      </c>
      <c r="R10" s="23" t="s">
        <v>85</v>
      </c>
      <c r="S10" s="23" t="s">
        <v>85</v>
      </c>
      <c r="T10" s="8">
        <v>0</v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130</v>
      </c>
      <c r="D11" s="15" t="s">
        <v>149</v>
      </c>
      <c r="E11" s="15" t="s">
        <v>49</v>
      </c>
      <c r="F11" s="15">
        <v>2.747</v>
      </c>
      <c r="G11" s="15">
        <v>2.747</v>
      </c>
      <c r="H11" s="15" t="s">
        <v>45</v>
      </c>
      <c r="I11" s="15" t="s">
        <v>46</v>
      </c>
      <c r="J11" s="15" t="s">
        <v>150</v>
      </c>
      <c r="K11" s="16">
        <f>F11*1.06</f>
      </c>
      <c r="L11" s="17">
        <v>1226.8755</v>
      </c>
      <c r="M11" s="18">
        <v>250</v>
      </c>
      <c r="N11" s="18">
        <v>381</v>
      </c>
      <c r="O11" s="19">
        <f>IFERROR((N11-M11)*K11,0)</f>
      </c>
      <c r="P11" s="24" t="s">
        <v>85</v>
      </c>
      <c r="Q11" s="24" t="s">
        <v>85</v>
      </c>
      <c r="R11" s="24" t="s">
        <v>85</v>
      </c>
      <c r="S11" s="24" t="s">
        <v>85</v>
      </c>
      <c r="T11" s="16">
        <v>0</v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130</v>
      </c>
      <c r="D12" s="7" t="s">
        <v>131</v>
      </c>
      <c r="E12" s="7" t="s">
        <v>41</v>
      </c>
      <c r="F12" s="7">
        <v>1.22</v>
      </c>
      <c r="G12" s="7">
        <v>1.182</v>
      </c>
      <c r="H12" s="7" t="s">
        <v>60</v>
      </c>
      <c r="I12" s="7" t="s">
        <v>38</v>
      </c>
      <c r="J12" s="7" t="s">
        <v>151</v>
      </c>
      <c r="K12" s="8">
        <f>F12*1.06</f>
      </c>
      <c r="L12" s="9">
        <v>514.9236</v>
      </c>
      <c r="M12" s="10">
        <v>239</v>
      </c>
      <c r="N12" s="10">
        <v>369</v>
      </c>
      <c r="O12" s="11">
        <f>IFERROR((N12-M12)*K12,0)</f>
      </c>
      <c r="P12" s="10">
        <v>154</v>
      </c>
      <c r="Q12" s="10">
        <v>239</v>
      </c>
      <c r="R12" s="10">
        <v>369</v>
      </c>
      <c r="S12" s="8">
        <f>IFERROR((P12/Q12)*R12,0)</f>
      </c>
      <c r="T12" s="8">
        <f>IFERROR((S12-P12)*((F12-G12)*0.8),0)</f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130</v>
      </c>
      <c r="D13" s="15" t="s">
        <v>152</v>
      </c>
      <c r="E13" s="15" t="s">
        <v>153</v>
      </c>
      <c r="F13" s="15">
        <v>0.044</v>
      </c>
      <c r="G13" s="15">
        <v>0.044</v>
      </c>
      <c r="H13" s="15" t="s">
        <v>154</v>
      </c>
      <c r="I13" s="15" t="s">
        <v>71</v>
      </c>
      <c r="J13" s="15" t="s">
        <v>155</v>
      </c>
      <c r="K13" s="16">
        <f>F13*1.06</f>
      </c>
      <c r="L13" s="17">
        <v>80.5862</v>
      </c>
      <c r="M13" s="18">
        <v>231</v>
      </c>
      <c r="N13" s="18">
        <v>377</v>
      </c>
      <c r="O13" s="19">
        <f>IFERROR((N13-M13)*K13,0)</f>
      </c>
      <c r="P13" s="24" t="s">
        <v>85</v>
      </c>
      <c r="Q13" s="24" t="s">
        <v>85</v>
      </c>
      <c r="R13" s="24" t="s">
        <v>85</v>
      </c>
      <c r="S13" s="24" t="s">
        <v>85</v>
      </c>
      <c r="T13" s="16">
        <v>0</v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130</v>
      </c>
      <c r="D14" s="7" t="s">
        <v>156</v>
      </c>
      <c r="E14" s="7" t="s">
        <v>157</v>
      </c>
      <c r="F14" s="7">
        <v>0.044</v>
      </c>
      <c r="G14" s="7">
        <v>0.044</v>
      </c>
      <c r="H14" s="7" t="s">
        <v>154</v>
      </c>
      <c r="I14" s="7" t="s">
        <v>71</v>
      </c>
      <c r="J14" s="7" t="s">
        <v>158</v>
      </c>
      <c r="K14" s="8">
        <f>F14*1.06</f>
      </c>
      <c r="L14" s="9">
        <v>44.3435</v>
      </c>
      <c r="M14" s="10">
        <v>231</v>
      </c>
      <c r="N14" s="10">
        <v>377</v>
      </c>
      <c r="O14" s="11">
        <f>IFERROR((N14-M14)*K14,0)</f>
      </c>
      <c r="P14" s="23" t="s">
        <v>85</v>
      </c>
      <c r="Q14" s="23" t="s">
        <v>85</v>
      </c>
      <c r="R14" s="23" t="s">
        <v>85</v>
      </c>
      <c r="S14" s="23" t="s">
        <v>85</v>
      </c>
      <c r="T14" s="8">
        <v>0</v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130</v>
      </c>
      <c r="D15" s="15" t="s">
        <v>159</v>
      </c>
      <c r="E15" s="15" t="s">
        <v>82</v>
      </c>
      <c r="F15" s="15">
        <v>0.31</v>
      </c>
      <c r="G15" s="15">
        <v>0.31</v>
      </c>
      <c r="H15" s="15" t="s">
        <v>154</v>
      </c>
      <c r="I15" s="15" t="s">
        <v>71</v>
      </c>
      <c r="J15" s="15" t="s">
        <v>160</v>
      </c>
      <c r="K15" s="16">
        <f>F15*1.06</f>
      </c>
      <c r="L15" s="17">
        <v>141.3528</v>
      </c>
      <c r="M15" s="18">
        <v>231</v>
      </c>
      <c r="N15" s="18">
        <v>377</v>
      </c>
      <c r="O15" s="19">
        <f>IFERROR((N15-M15)*K15,0)</f>
      </c>
      <c r="P15" s="24" t="s">
        <v>85</v>
      </c>
      <c r="Q15" s="24" t="s">
        <v>85</v>
      </c>
      <c r="R15" s="24" t="s">
        <v>85</v>
      </c>
      <c r="S15" s="24" t="s">
        <v>85</v>
      </c>
      <c r="T15" s="16">
        <v>0</v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130</v>
      </c>
      <c r="D16" s="7" t="s">
        <v>161</v>
      </c>
      <c r="E16" s="7" t="s">
        <v>44</v>
      </c>
      <c r="F16" s="7">
        <v>1.385</v>
      </c>
      <c r="G16" s="7">
        <v>1.385</v>
      </c>
      <c r="H16" s="7" t="s">
        <v>154</v>
      </c>
      <c r="I16" s="7" t="s">
        <v>46</v>
      </c>
      <c r="J16" s="7" t="s">
        <v>162</v>
      </c>
      <c r="K16" s="8">
        <f>F16*1.06</f>
      </c>
      <c r="L16" s="9">
        <v>603.8957</v>
      </c>
      <c r="M16" s="10">
        <v>250</v>
      </c>
      <c r="N16" s="10">
        <v>381</v>
      </c>
      <c r="O16" s="11">
        <f>IFERROR((N16-M16)*K16,0)</f>
      </c>
      <c r="P16" s="23" t="s">
        <v>85</v>
      </c>
      <c r="Q16" s="23" t="s">
        <v>85</v>
      </c>
      <c r="R16" s="23" t="s">
        <v>85</v>
      </c>
      <c r="S16" s="23" t="s">
        <v>85</v>
      </c>
      <c r="T16" s="8">
        <v>0</v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130</v>
      </c>
      <c r="D17" s="15" t="s">
        <v>163</v>
      </c>
      <c r="E17" s="15" t="s">
        <v>82</v>
      </c>
      <c r="F17" s="15">
        <v>0.297</v>
      </c>
      <c r="G17" s="15">
        <v>0.297</v>
      </c>
      <c r="H17" s="15" t="s">
        <v>154</v>
      </c>
      <c r="I17" s="15" t="s">
        <v>38</v>
      </c>
      <c r="J17" s="15" t="s">
        <v>164</v>
      </c>
      <c r="K17" s="16">
        <f>F17*1.06</f>
      </c>
      <c r="L17" s="17">
        <v>129.0185</v>
      </c>
      <c r="M17" s="18">
        <v>239</v>
      </c>
      <c r="N17" s="18">
        <v>369</v>
      </c>
      <c r="O17" s="19">
        <f>IFERROR((N17-M17)*K17,0)</f>
      </c>
      <c r="P17" s="24" t="s">
        <v>85</v>
      </c>
      <c r="Q17" s="24" t="s">
        <v>85</v>
      </c>
      <c r="R17" s="24" t="s">
        <v>85</v>
      </c>
      <c r="S17" s="24" t="s">
        <v>85</v>
      </c>
      <c r="T17" s="16">
        <v>0</v>
      </c>
      <c r="U17" s="20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130</v>
      </c>
      <c r="D18" s="7" t="s">
        <v>165</v>
      </c>
      <c r="E18" s="7" t="s">
        <v>49</v>
      </c>
      <c r="F18" s="7">
        <v>1.4</v>
      </c>
      <c r="G18" s="7">
        <v>1.4</v>
      </c>
      <c r="H18" s="7" t="s">
        <v>154</v>
      </c>
      <c r="I18" s="7" t="s">
        <v>46</v>
      </c>
      <c r="J18" s="7" t="s">
        <v>166</v>
      </c>
      <c r="K18" s="8">
        <f>F18*1.06</f>
      </c>
      <c r="L18" s="9">
        <v>577.8283</v>
      </c>
      <c r="M18" s="10">
        <v>250</v>
      </c>
      <c r="N18" s="10">
        <v>381</v>
      </c>
      <c r="O18" s="11">
        <f>IFERROR((N18-M18)*K18,0)</f>
      </c>
      <c r="P18" s="23" t="s">
        <v>85</v>
      </c>
      <c r="Q18" s="23" t="s">
        <v>85</v>
      </c>
      <c r="R18" s="23" t="s">
        <v>85</v>
      </c>
      <c r="S18" s="23" t="s">
        <v>85</v>
      </c>
      <c r="T18" s="8">
        <v>0</v>
      </c>
      <c r="U18" s="12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130</v>
      </c>
      <c r="D19" s="15" t="s">
        <v>167</v>
      </c>
      <c r="E19" s="15" t="s">
        <v>82</v>
      </c>
      <c r="F19" s="15">
        <v>0.317</v>
      </c>
      <c r="G19" s="15">
        <v>0.279</v>
      </c>
      <c r="H19" s="15" t="s">
        <v>83</v>
      </c>
      <c r="I19" s="15" t="s">
        <v>38</v>
      </c>
      <c r="J19" s="15" t="s">
        <v>168</v>
      </c>
      <c r="K19" s="16">
        <f>F19*1.06</f>
      </c>
      <c r="L19" s="17">
        <v>171.5678</v>
      </c>
      <c r="M19" s="18">
        <v>239</v>
      </c>
      <c r="N19" s="18">
        <v>369</v>
      </c>
      <c r="O19" s="19">
        <f>IFERROR((N19-M19)*K19,0)</f>
      </c>
      <c r="P19" s="18">
        <v>154</v>
      </c>
      <c r="Q19" s="18">
        <v>239</v>
      </c>
      <c r="R19" s="18">
        <v>369</v>
      </c>
      <c r="S19" s="16">
        <f>IFERROR((P19/Q19)*R19,0)</f>
      </c>
      <c r="T19" s="16">
        <f>IFERROR((S19-P19)*((F19-G19)*0.8),0)</f>
      </c>
      <c r="U19" s="20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130</v>
      </c>
      <c r="D20" s="7" t="s">
        <v>169</v>
      </c>
      <c r="E20" s="7" t="s">
        <v>170</v>
      </c>
      <c r="F20" s="7">
        <v>0.035</v>
      </c>
      <c r="G20" s="7">
        <v>0.035</v>
      </c>
      <c r="H20" s="7" t="s">
        <v>83</v>
      </c>
      <c r="I20" s="7" t="s">
        <v>38</v>
      </c>
      <c r="J20" s="7" t="s">
        <v>171</v>
      </c>
      <c r="K20" s="8">
        <f>F20*1.06</f>
      </c>
      <c r="L20" s="9">
        <v>28.406</v>
      </c>
      <c r="M20" s="10">
        <v>239</v>
      </c>
      <c r="N20" s="10">
        <v>369</v>
      </c>
      <c r="O20" s="11">
        <f>IFERROR((N20-M20)*K20,0)</f>
      </c>
      <c r="P20" s="23" t="s">
        <v>85</v>
      </c>
      <c r="Q20" s="23" t="s">
        <v>85</v>
      </c>
      <c r="R20" s="23" t="s">
        <v>85</v>
      </c>
      <c r="S20" s="23" t="s">
        <v>85</v>
      </c>
      <c r="T20" s="8">
        <v>0</v>
      </c>
      <c r="U20" s="12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130</v>
      </c>
      <c r="D21" s="15" t="s">
        <v>89</v>
      </c>
      <c r="E21" s="15" t="s">
        <v>82</v>
      </c>
      <c r="F21" s="15">
        <v>1.12</v>
      </c>
      <c r="G21" s="15">
        <v>1.1</v>
      </c>
      <c r="H21" s="15" t="s">
        <v>83</v>
      </c>
      <c r="I21" s="15" t="s">
        <v>71</v>
      </c>
      <c r="J21" s="15" t="s">
        <v>172</v>
      </c>
      <c r="K21" s="16">
        <f>F21*1.06</f>
      </c>
      <c r="L21" s="17">
        <v>574.7943</v>
      </c>
      <c r="M21" s="18">
        <v>231</v>
      </c>
      <c r="N21" s="18">
        <v>377</v>
      </c>
      <c r="O21" s="19">
        <f>IFERROR((N21-M21)*K21,0)</f>
      </c>
      <c r="P21" s="18">
        <v>154</v>
      </c>
      <c r="Q21" s="18">
        <v>239</v>
      </c>
      <c r="R21" s="18">
        <v>369</v>
      </c>
      <c r="S21" s="16">
        <f>IFERROR((P21/Q21)*R21,0)</f>
      </c>
      <c r="T21" s="16">
        <f>IFERROR((S21-P21)*((F21-G21)*0.8),0)</f>
      </c>
      <c r="U21" s="20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130</v>
      </c>
      <c r="D22" s="7" t="s">
        <v>173</v>
      </c>
      <c r="E22" s="7" t="s">
        <v>174</v>
      </c>
      <c r="F22" s="7">
        <v>0.671</v>
      </c>
      <c r="G22" s="7">
        <v>0.622</v>
      </c>
      <c r="H22" s="7" t="s">
        <v>83</v>
      </c>
      <c r="I22" s="7" t="s">
        <v>71</v>
      </c>
      <c r="J22" s="7" t="s">
        <v>175</v>
      </c>
      <c r="K22" s="8">
        <f>F22*1.06</f>
      </c>
      <c r="L22" s="9">
        <v>475.7817</v>
      </c>
      <c r="M22" s="10">
        <v>231</v>
      </c>
      <c r="N22" s="10">
        <v>377</v>
      </c>
      <c r="O22" s="11">
        <f>IFERROR((N22-M22)*K22,0)</f>
      </c>
      <c r="P22" s="10">
        <v>154</v>
      </c>
      <c r="Q22" s="10">
        <v>239</v>
      </c>
      <c r="R22" s="10">
        <v>369</v>
      </c>
      <c r="S22" s="8">
        <f>IFERROR((P22/Q22)*R22,0)</f>
      </c>
      <c r="T22" s="8">
        <f>IFERROR((S22-P22)*((F22-G22)*0.8),0)</f>
      </c>
      <c r="U22" s="12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130</v>
      </c>
      <c r="D23" s="15" t="s">
        <v>176</v>
      </c>
      <c r="E23" s="15" t="s">
        <v>177</v>
      </c>
      <c r="F23" s="15">
        <v>0.671</v>
      </c>
      <c r="G23" s="15">
        <v>0.622</v>
      </c>
      <c r="H23" s="15" t="s">
        <v>83</v>
      </c>
      <c r="I23" s="15" t="s">
        <v>71</v>
      </c>
      <c r="J23" s="15" t="s">
        <v>178</v>
      </c>
      <c r="K23" s="16">
        <f>F23*1.06</f>
      </c>
      <c r="L23" s="17">
        <v>472.2117</v>
      </c>
      <c r="M23" s="18">
        <v>231</v>
      </c>
      <c r="N23" s="18">
        <v>377</v>
      </c>
      <c r="O23" s="19">
        <f>IFERROR((N23-M23)*K23,0)</f>
      </c>
      <c r="P23" s="18">
        <v>154</v>
      </c>
      <c r="Q23" s="18">
        <v>239</v>
      </c>
      <c r="R23" s="18">
        <v>369</v>
      </c>
      <c r="S23" s="16">
        <f>IFERROR((P23/Q23)*R23,0)</f>
      </c>
      <c r="T23" s="16">
        <f>IFERROR((S23-P23)*((F23-G23)*0.8),0)</f>
      </c>
      <c r="U23" s="20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130</v>
      </c>
      <c r="D24" s="7" t="s">
        <v>179</v>
      </c>
      <c r="E24" s="7" t="s">
        <v>180</v>
      </c>
      <c r="F24" s="7">
        <v>0.145</v>
      </c>
      <c r="G24" s="7">
        <v>0.134</v>
      </c>
      <c r="H24" s="7" t="s">
        <v>83</v>
      </c>
      <c r="I24" s="7" t="s">
        <v>38</v>
      </c>
      <c r="J24" s="7" t="s">
        <v>181</v>
      </c>
      <c r="K24" s="8">
        <f>F24*1.06</f>
      </c>
      <c r="L24" s="9">
        <v>115.7422</v>
      </c>
      <c r="M24" s="10">
        <v>239</v>
      </c>
      <c r="N24" s="10">
        <v>369</v>
      </c>
      <c r="O24" s="11">
        <f>IFERROR((N24-M24)*K24,0)</f>
      </c>
      <c r="P24" s="10">
        <v>154</v>
      </c>
      <c r="Q24" s="10">
        <v>239</v>
      </c>
      <c r="R24" s="10">
        <v>369</v>
      </c>
      <c r="S24" s="8">
        <f>IFERROR((P24/Q24)*R24,0)</f>
      </c>
      <c r="T24" s="8">
        <f>IFERROR((S24-P24)*((F24-G24)*0.8),0)</f>
      </c>
      <c r="U24" s="12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130</v>
      </c>
      <c r="D25" s="15" t="s">
        <v>182</v>
      </c>
      <c r="E25" s="15" t="s">
        <v>183</v>
      </c>
      <c r="F25" s="15">
        <v>0.435</v>
      </c>
      <c r="G25" s="15">
        <v>0.425</v>
      </c>
      <c r="H25" s="15" t="s">
        <v>83</v>
      </c>
      <c r="I25" s="15" t="s">
        <v>38</v>
      </c>
      <c r="J25" s="15" t="s">
        <v>184</v>
      </c>
      <c r="K25" s="16">
        <f>F25*1.06</f>
      </c>
      <c r="L25" s="17">
        <v>224.6809</v>
      </c>
      <c r="M25" s="18">
        <v>239</v>
      </c>
      <c r="N25" s="18">
        <v>369</v>
      </c>
      <c r="O25" s="19">
        <f>IFERROR((N25-M25)*K25,0)</f>
      </c>
      <c r="P25" s="18">
        <v>154</v>
      </c>
      <c r="Q25" s="18">
        <v>239</v>
      </c>
      <c r="R25" s="18">
        <v>369</v>
      </c>
      <c r="S25" s="16">
        <f>IFERROR((P25/Q25)*R25,0)</f>
      </c>
      <c r="T25" s="16">
        <f>IFERROR((S25-P25)*((F25-G25)*0.8),0)</f>
      </c>
      <c r="U25" s="20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130</v>
      </c>
      <c r="D26" s="7" t="s">
        <v>65</v>
      </c>
      <c r="E26" s="7" t="s">
        <v>66</v>
      </c>
      <c r="F26" s="7">
        <v>0.077</v>
      </c>
      <c r="G26" s="7">
        <v>0.069</v>
      </c>
      <c r="H26" s="7" t="s">
        <v>83</v>
      </c>
      <c r="I26" s="7" t="s">
        <v>38</v>
      </c>
      <c r="J26" s="7" t="s">
        <v>185</v>
      </c>
      <c r="K26" s="8">
        <f>F26*1.06</f>
      </c>
      <c r="L26" s="9">
        <v>71.6666</v>
      </c>
      <c r="M26" s="10">
        <v>239</v>
      </c>
      <c r="N26" s="10">
        <v>369</v>
      </c>
      <c r="O26" s="11">
        <f>IFERROR((N26-M26)*K26,0)</f>
      </c>
      <c r="P26" s="10">
        <v>154</v>
      </c>
      <c r="Q26" s="10">
        <v>239</v>
      </c>
      <c r="R26" s="10">
        <v>369</v>
      </c>
      <c r="S26" s="8">
        <f>IFERROR((P26/Q26)*R26,0)</f>
      </c>
      <c r="T26" s="8">
        <f>IFERROR((S26-P26)*((F26-G26)*0.8),0)</f>
      </c>
      <c r="U26" s="12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130</v>
      </c>
      <c r="D27" s="15" t="s">
        <v>186</v>
      </c>
      <c r="E27" s="15" t="s">
        <v>187</v>
      </c>
      <c r="F27" s="15">
        <v>0.316</v>
      </c>
      <c r="G27" s="15">
        <v>0.316</v>
      </c>
      <c r="H27" s="15" t="s">
        <v>83</v>
      </c>
      <c r="I27" s="15" t="s">
        <v>71</v>
      </c>
      <c r="J27" s="15" t="s">
        <v>188</v>
      </c>
      <c r="K27" s="16">
        <f>F27*1.06</f>
      </c>
      <c r="L27" s="17">
        <v>233.5898</v>
      </c>
      <c r="M27" s="18">
        <v>231</v>
      </c>
      <c r="N27" s="18">
        <v>377</v>
      </c>
      <c r="O27" s="19">
        <f>IFERROR((N27-M27)*K27,0)</f>
      </c>
      <c r="P27" s="24" t="s">
        <v>85</v>
      </c>
      <c r="Q27" s="24" t="s">
        <v>85</v>
      </c>
      <c r="R27" s="24" t="s">
        <v>85</v>
      </c>
      <c r="S27" s="24" t="s">
        <v>85</v>
      </c>
      <c r="T27" s="16">
        <v>0</v>
      </c>
      <c r="U27" s="20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130</v>
      </c>
      <c r="D28" s="7" t="s">
        <v>107</v>
      </c>
      <c r="E28" s="7" t="s">
        <v>108</v>
      </c>
      <c r="F28" s="7">
        <v>1.521</v>
      </c>
      <c r="G28" s="7">
        <v>1.521</v>
      </c>
      <c r="H28" s="7" t="s">
        <v>83</v>
      </c>
      <c r="I28" s="7" t="s">
        <v>71</v>
      </c>
      <c r="J28" s="7" t="s">
        <v>189</v>
      </c>
      <c r="K28" s="8">
        <f>F28*1.06</f>
      </c>
      <c r="L28" s="9">
        <v>568.6529</v>
      </c>
      <c r="M28" s="10">
        <v>231</v>
      </c>
      <c r="N28" s="10">
        <v>377</v>
      </c>
      <c r="O28" s="11">
        <f>IFERROR((N28-M28)*K28,0)</f>
      </c>
      <c r="P28" s="23" t="s">
        <v>85</v>
      </c>
      <c r="Q28" s="23" t="s">
        <v>85</v>
      </c>
      <c r="R28" s="23" t="s">
        <v>85</v>
      </c>
      <c r="S28" s="23" t="s">
        <v>85</v>
      </c>
      <c r="T28" s="8">
        <v>0</v>
      </c>
      <c r="U28" s="12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130</v>
      </c>
      <c r="D29" s="15" t="s">
        <v>190</v>
      </c>
      <c r="E29" s="15" t="s">
        <v>191</v>
      </c>
      <c r="F29" s="15">
        <v>1.027</v>
      </c>
      <c r="G29" s="15">
        <v>0.967</v>
      </c>
      <c r="H29" s="15" t="s">
        <v>83</v>
      </c>
      <c r="I29" s="15" t="s">
        <v>38</v>
      </c>
      <c r="J29" s="15" t="s">
        <v>192</v>
      </c>
      <c r="K29" s="16">
        <f>F29*1.06</f>
      </c>
      <c r="L29" s="17">
        <v>605.4338</v>
      </c>
      <c r="M29" s="18">
        <v>239</v>
      </c>
      <c r="N29" s="18">
        <v>369</v>
      </c>
      <c r="O29" s="19">
        <f>IFERROR((N29-M29)*K29,0)</f>
      </c>
      <c r="P29" s="18">
        <v>154</v>
      </c>
      <c r="Q29" s="18">
        <v>239</v>
      </c>
      <c r="R29" s="18">
        <v>369</v>
      </c>
      <c r="S29" s="16">
        <f>IFERROR((P29/Q29)*R29,0)</f>
      </c>
      <c r="T29" s="16">
        <f>IFERROR((S29-P29)*((F29-G29)*0.8),0)</f>
      </c>
      <c r="U29" s="20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130</v>
      </c>
      <c r="D30" s="7" t="s">
        <v>94</v>
      </c>
      <c r="E30" s="7" t="s">
        <v>95</v>
      </c>
      <c r="F30" s="7">
        <v>1.22</v>
      </c>
      <c r="G30" s="7">
        <v>1.22</v>
      </c>
      <c r="H30" s="7" t="s">
        <v>83</v>
      </c>
      <c r="I30" s="7" t="s">
        <v>71</v>
      </c>
      <c r="J30" s="7" t="s">
        <v>193</v>
      </c>
      <c r="K30" s="8">
        <f>F30*1.06</f>
      </c>
      <c r="L30" s="9">
        <v>472.3976</v>
      </c>
      <c r="M30" s="10">
        <v>231</v>
      </c>
      <c r="N30" s="10">
        <v>377</v>
      </c>
      <c r="O30" s="11">
        <f>IFERROR((N30-M30)*K30,0)</f>
      </c>
      <c r="P30" s="23" t="s">
        <v>85</v>
      </c>
      <c r="Q30" s="23" t="s">
        <v>85</v>
      </c>
      <c r="R30" s="23" t="s">
        <v>85</v>
      </c>
      <c r="S30" s="23" t="s">
        <v>85</v>
      </c>
      <c r="T30" s="8">
        <v>0</v>
      </c>
      <c r="U30" s="12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130</v>
      </c>
      <c r="D31" s="15" t="s">
        <v>119</v>
      </c>
      <c r="E31" s="15" t="s">
        <v>120</v>
      </c>
      <c r="F31" s="15">
        <v>0.361</v>
      </c>
      <c r="G31" s="15">
        <v>0.321</v>
      </c>
      <c r="H31" s="15" t="s">
        <v>83</v>
      </c>
      <c r="I31" s="15" t="s">
        <v>38</v>
      </c>
      <c r="J31" s="15" t="s">
        <v>194</v>
      </c>
      <c r="K31" s="16">
        <f>F31*1.06</f>
      </c>
      <c r="L31" s="17">
        <v>168.7828</v>
      </c>
      <c r="M31" s="18">
        <v>239</v>
      </c>
      <c r="N31" s="18">
        <v>369</v>
      </c>
      <c r="O31" s="19">
        <f>IFERROR((N31-M31)*K31,0)</f>
      </c>
      <c r="P31" s="18">
        <v>154</v>
      </c>
      <c r="Q31" s="18">
        <v>239</v>
      </c>
      <c r="R31" s="18">
        <v>369</v>
      </c>
      <c r="S31" s="16">
        <f>IFERROR((P31/Q31)*R31,0)</f>
      </c>
      <c r="T31" s="16">
        <f>IFERROR((S31-P31)*((F31-G31)*0.8),0)</f>
      </c>
      <c r="U31" s="20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130</v>
      </c>
      <c r="D32" s="7" t="s">
        <v>62</v>
      </c>
      <c r="E32" s="7" t="s">
        <v>63</v>
      </c>
      <c r="F32" s="7">
        <v>0.096</v>
      </c>
      <c r="G32" s="7">
        <v>0.084</v>
      </c>
      <c r="H32" s="7" t="s">
        <v>83</v>
      </c>
      <c r="I32" s="7" t="s">
        <v>38</v>
      </c>
      <c r="J32" s="7" t="s">
        <v>195</v>
      </c>
      <c r="K32" s="8">
        <f>F32*1.06</f>
      </c>
      <c r="L32" s="9">
        <v>97.0885</v>
      </c>
      <c r="M32" s="10">
        <v>239</v>
      </c>
      <c r="N32" s="10">
        <v>369</v>
      </c>
      <c r="O32" s="11">
        <f>IFERROR((N32-M32)*K32,0)</f>
      </c>
      <c r="P32" s="10">
        <v>154</v>
      </c>
      <c r="Q32" s="10">
        <v>239</v>
      </c>
      <c r="R32" s="10">
        <v>369</v>
      </c>
      <c r="S32" s="8">
        <f>IFERROR((P32/Q32)*R32,0)</f>
      </c>
      <c r="T32" s="8">
        <f>IFERROR((S32-P32)*((F32-G32)*0.8),0)</f>
      </c>
      <c r="U32" s="12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130</v>
      </c>
      <c r="D33" s="15" t="s">
        <v>78</v>
      </c>
      <c r="E33" s="15" t="s">
        <v>196</v>
      </c>
      <c r="F33" s="15">
        <v>0.268</v>
      </c>
      <c r="G33" s="15">
        <v>0.254</v>
      </c>
      <c r="H33" s="15" t="s">
        <v>83</v>
      </c>
      <c r="I33" s="15" t="s">
        <v>38</v>
      </c>
      <c r="J33" s="15" t="s">
        <v>197</v>
      </c>
      <c r="K33" s="16">
        <f>F33*1.06</f>
      </c>
      <c r="L33" s="17">
        <v>187.9872</v>
      </c>
      <c r="M33" s="18">
        <v>239</v>
      </c>
      <c r="N33" s="18">
        <v>369</v>
      </c>
      <c r="O33" s="19">
        <f>IFERROR((N33-M33)*K33,0)</f>
      </c>
      <c r="P33" s="18">
        <v>154</v>
      </c>
      <c r="Q33" s="18">
        <v>239</v>
      </c>
      <c r="R33" s="18">
        <v>369</v>
      </c>
      <c r="S33" s="16">
        <f>IFERROR((P33/Q33)*R33,0)</f>
      </c>
      <c r="T33" s="16">
        <f>IFERROR((S33-P33)*((F33-G33)*0.8),0)</f>
      </c>
      <c r="U33" s="20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130</v>
      </c>
      <c r="D34" s="7" t="s">
        <v>198</v>
      </c>
      <c r="E34" s="7" t="s">
        <v>199</v>
      </c>
      <c r="F34" s="7">
        <v>0.164</v>
      </c>
      <c r="G34" s="7">
        <v>0.1</v>
      </c>
      <c r="H34" s="7" t="s">
        <v>83</v>
      </c>
      <c r="I34" s="7" t="s">
        <v>38</v>
      </c>
      <c r="J34" s="7" t="s">
        <v>200</v>
      </c>
      <c r="K34" s="8">
        <f>F34*1.06</f>
      </c>
      <c r="L34" s="9">
        <v>92.4784</v>
      </c>
      <c r="M34" s="10">
        <v>239</v>
      </c>
      <c r="N34" s="10">
        <v>369</v>
      </c>
      <c r="O34" s="11">
        <f>IFERROR((N34-M34)*K34,0)</f>
      </c>
      <c r="P34" s="10">
        <v>154</v>
      </c>
      <c r="Q34" s="10">
        <v>239</v>
      </c>
      <c r="R34" s="10">
        <v>369</v>
      </c>
      <c r="S34" s="8">
        <f>IFERROR((P34/Q34)*R34,0)</f>
      </c>
      <c r="T34" s="8">
        <f>IFERROR((S34-P34)*((F34-G34)*0.8),0)</f>
      </c>
      <c r="U34" s="12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130</v>
      </c>
      <c r="D35" s="15" t="s">
        <v>91</v>
      </c>
      <c r="E35" s="15" t="s">
        <v>92</v>
      </c>
      <c r="F35" s="15">
        <v>1.12</v>
      </c>
      <c r="G35" s="15">
        <v>1.092</v>
      </c>
      <c r="H35" s="15" t="s">
        <v>83</v>
      </c>
      <c r="I35" s="15" t="s">
        <v>71</v>
      </c>
      <c r="J35" s="15" t="s">
        <v>201</v>
      </c>
      <c r="K35" s="16">
        <f>F35*1.06</f>
      </c>
      <c r="L35" s="17">
        <v>575.6698</v>
      </c>
      <c r="M35" s="18">
        <v>231</v>
      </c>
      <c r="N35" s="18">
        <v>377</v>
      </c>
      <c r="O35" s="19">
        <f>IFERROR((N35-M35)*K35,0)</f>
      </c>
      <c r="P35" s="18">
        <v>154</v>
      </c>
      <c r="Q35" s="18">
        <v>239</v>
      </c>
      <c r="R35" s="18">
        <v>369</v>
      </c>
      <c r="S35" s="16">
        <f>IFERROR((P35/Q35)*R35,0)</f>
      </c>
      <c r="T35" s="16">
        <f>IFERROR((S35-P35)*((F35-G35)*0.8),0)</f>
      </c>
      <c r="U35" s="20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130</v>
      </c>
      <c r="D36" s="7" t="s">
        <v>105</v>
      </c>
      <c r="E36" s="7" t="s">
        <v>82</v>
      </c>
      <c r="F36" s="7">
        <v>1.383</v>
      </c>
      <c r="G36" s="7">
        <v>1.383</v>
      </c>
      <c r="H36" s="7" t="s">
        <v>83</v>
      </c>
      <c r="I36" s="7" t="s">
        <v>71</v>
      </c>
      <c r="J36" s="7" t="s">
        <v>202</v>
      </c>
      <c r="K36" s="8">
        <f>F36*1.06</f>
      </c>
      <c r="L36" s="9">
        <v>548.6474</v>
      </c>
      <c r="M36" s="10">
        <v>231</v>
      </c>
      <c r="N36" s="10">
        <v>377</v>
      </c>
      <c r="O36" s="11">
        <f>IFERROR((N36-M36)*K36,0)</f>
      </c>
      <c r="P36" s="23" t="s">
        <v>85</v>
      </c>
      <c r="Q36" s="23" t="s">
        <v>85</v>
      </c>
      <c r="R36" s="23" t="s">
        <v>85</v>
      </c>
      <c r="S36" s="23" t="s">
        <v>85</v>
      </c>
      <c r="T36" s="8">
        <v>0</v>
      </c>
      <c r="U36" s="12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130</v>
      </c>
      <c r="D37" s="15" t="s">
        <v>110</v>
      </c>
      <c r="E37" s="15" t="s">
        <v>111</v>
      </c>
      <c r="F37" s="15">
        <v>1.25</v>
      </c>
      <c r="G37" s="15">
        <v>1.25</v>
      </c>
      <c r="H37" s="15" t="s">
        <v>83</v>
      </c>
      <c r="I37" s="15" t="s">
        <v>71</v>
      </c>
      <c r="J37" s="15" t="s">
        <v>203</v>
      </c>
      <c r="K37" s="16">
        <f>F37*1.06</f>
      </c>
      <c r="L37" s="17">
        <v>487.4028</v>
      </c>
      <c r="M37" s="18">
        <v>231</v>
      </c>
      <c r="N37" s="18">
        <v>377</v>
      </c>
      <c r="O37" s="19">
        <f>IFERROR((N37-M37)*K37,0)</f>
      </c>
      <c r="P37" s="24" t="s">
        <v>85</v>
      </c>
      <c r="Q37" s="24" t="s">
        <v>85</v>
      </c>
      <c r="R37" s="24" t="s">
        <v>85</v>
      </c>
      <c r="S37" s="24" t="s">
        <v>85</v>
      </c>
      <c r="T37" s="16">
        <v>0</v>
      </c>
      <c r="U37" s="20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130</v>
      </c>
      <c r="D38" s="7" t="s">
        <v>204</v>
      </c>
      <c r="E38" s="7" t="s">
        <v>205</v>
      </c>
      <c r="F38" s="7">
        <v>0.163</v>
      </c>
      <c r="G38" s="7">
        <v>0.153</v>
      </c>
      <c r="H38" s="7" t="s">
        <v>83</v>
      </c>
      <c r="I38" s="7" t="s">
        <v>38</v>
      </c>
      <c r="J38" s="7" t="s">
        <v>206</v>
      </c>
      <c r="K38" s="8">
        <f>F38*1.06</f>
      </c>
      <c r="L38" s="9">
        <v>179.9966</v>
      </c>
      <c r="M38" s="10">
        <v>239</v>
      </c>
      <c r="N38" s="10">
        <v>369</v>
      </c>
      <c r="O38" s="11">
        <f>IFERROR((N38-M38)*K38,0)</f>
      </c>
      <c r="P38" s="10">
        <v>154</v>
      </c>
      <c r="Q38" s="10">
        <v>239</v>
      </c>
      <c r="R38" s="10">
        <v>369</v>
      </c>
      <c r="S38" s="8">
        <f>IFERROR((P38/Q38)*R38,0)</f>
      </c>
      <c r="T38" s="8">
        <f>IFERROR((S38-P38)*((F38-G38)*0.8),0)</f>
      </c>
      <c r="U38" s="12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130</v>
      </c>
      <c r="D39" s="15" t="s">
        <v>99</v>
      </c>
      <c r="E39" s="15" t="s">
        <v>100</v>
      </c>
      <c r="F39" s="15">
        <v>1.12</v>
      </c>
      <c r="G39" s="15">
        <v>1.12</v>
      </c>
      <c r="H39" s="15" t="s">
        <v>83</v>
      </c>
      <c r="I39" s="15" t="s">
        <v>71</v>
      </c>
      <c r="J39" s="15" t="s">
        <v>207</v>
      </c>
      <c r="K39" s="16">
        <f>F39*1.06</f>
      </c>
      <c r="L39" s="17">
        <v>457.1306</v>
      </c>
      <c r="M39" s="18">
        <v>231</v>
      </c>
      <c r="N39" s="18">
        <v>377</v>
      </c>
      <c r="O39" s="19">
        <f>IFERROR((N39-M39)*K39,0)</f>
      </c>
      <c r="P39" s="24" t="s">
        <v>85</v>
      </c>
      <c r="Q39" s="24" t="s">
        <v>85</v>
      </c>
      <c r="R39" s="24" t="s">
        <v>85</v>
      </c>
      <c r="S39" s="24" t="s">
        <v>85</v>
      </c>
      <c r="T39" s="16">
        <v>0</v>
      </c>
      <c r="U39" s="20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130</v>
      </c>
      <c r="D40" s="7" t="s">
        <v>208</v>
      </c>
      <c r="E40" s="7" t="s">
        <v>209</v>
      </c>
      <c r="F40" s="7">
        <v>0.218</v>
      </c>
      <c r="G40" s="7">
        <v>0.218</v>
      </c>
      <c r="H40" s="7" t="s">
        <v>83</v>
      </c>
      <c r="I40" s="7" t="s">
        <v>38</v>
      </c>
      <c r="J40" s="7" t="s">
        <v>210</v>
      </c>
      <c r="K40" s="8">
        <f>F40*1.06</f>
      </c>
      <c r="L40" s="9">
        <v>112.0791</v>
      </c>
      <c r="M40" s="10">
        <v>239</v>
      </c>
      <c r="N40" s="10">
        <v>369</v>
      </c>
      <c r="O40" s="11">
        <f>IFERROR((N40-M40)*K40,0)</f>
      </c>
      <c r="P40" s="23" t="s">
        <v>85</v>
      </c>
      <c r="Q40" s="23" t="s">
        <v>85</v>
      </c>
      <c r="R40" s="23" t="s">
        <v>85</v>
      </c>
      <c r="S40" s="23" t="s">
        <v>85</v>
      </c>
      <c r="T40" s="8">
        <v>0</v>
      </c>
      <c r="U40" s="12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130</v>
      </c>
      <c r="D41" s="15" t="s">
        <v>211</v>
      </c>
      <c r="E41" s="15" t="s">
        <v>212</v>
      </c>
      <c r="F41" s="15">
        <v>1.25</v>
      </c>
      <c r="G41" s="15">
        <v>1.16</v>
      </c>
      <c r="H41" s="15" t="s">
        <v>83</v>
      </c>
      <c r="I41" s="15" t="s">
        <v>71</v>
      </c>
      <c r="J41" s="15" t="s">
        <v>213</v>
      </c>
      <c r="K41" s="16">
        <f>F41*1.06</f>
      </c>
      <c r="L41" s="17">
        <v>803.0643</v>
      </c>
      <c r="M41" s="18">
        <v>231</v>
      </c>
      <c r="N41" s="18">
        <v>377</v>
      </c>
      <c r="O41" s="19">
        <f>IFERROR((N41-M41)*K41,0)</f>
      </c>
      <c r="P41" s="18">
        <v>154</v>
      </c>
      <c r="Q41" s="18">
        <v>239</v>
      </c>
      <c r="R41" s="18">
        <v>369</v>
      </c>
      <c r="S41" s="16">
        <f>IFERROR((P41/Q41)*R41,0)</f>
      </c>
      <c r="T41" s="16">
        <f>IFERROR((S41-P41)*((F41-G41)*0.8),0)</f>
      </c>
      <c r="U41" s="20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130</v>
      </c>
      <c r="D42" s="7" t="s">
        <v>102</v>
      </c>
      <c r="E42" s="7" t="s">
        <v>103</v>
      </c>
      <c r="F42" s="7">
        <v>1.042</v>
      </c>
      <c r="G42" s="7">
        <v>1.042</v>
      </c>
      <c r="H42" s="7" t="s">
        <v>83</v>
      </c>
      <c r="I42" s="7" t="s">
        <v>38</v>
      </c>
      <c r="J42" s="7" t="s">
        <v>214</v>
      </c>
      <c r="K42" s="8">
        <f>F42*1.06</f>
      </c>
      <c r="L42" s="9">
        <v>442.9715</v>
      </c>
      <c r="M42" s="10">
        <v>239</v>
      </c>
      <c r="N42" s="10">
        <v>369</v>
      </c>
      <c r="O42" s="11">
        <f>IFERROR((N42-M42)*K42,0)</f>
      </c>
      <c r="P42" s="23" t="s">
        <v>85</v>
      </c>
      <c r="Q42" s="23" t="s">
        <v>85</v>
      </c>
      <c r="R42" s="23" t="s">
        <v>85</v>
      </c>
      <c r="S42" s="23" t="s">
        <v>85</v>
      </c>
      <c r="T42" s="8">
        <v>0</v>
      </c>
      <c r="U42" s="12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130</v>
      </c>
      <c r="D43" s="15" t="s">
        <v>215</v>
      </c>
      <c r="E43" s="15" t="s">
        <v>216</v>
      </c>
      <c r="F43" s="15">
        <v>0.268</v>
      </c>
      <c r="G43" s="15">
        <v>0.268</v>
      </c>
      <c r="H43" s="15" t="s">
        <v>83</v>
      </c>
      <c r="I43" s="15" t="s">
        <v>38</v>
      </c>
      <c r="J43" s="15" t="s">
        <v>217</v>
      </c>
      <c r="K43" s="16">
        <f>F43*1.06</f>
      </c>
      <c r="L43" s="17">
        <v>134.6776</v>
      </c>
      <c r="M43" s="18">
        <v>239</v>
      </c>
      <c r="N43" s="18">
        <v>369</v>
      </c>
      <c r="O43" s="19">
        <f>IFERROR((N43-M43)*K43,0)</f>
      </c>
      <c r="P43" s="24" t="s">
        <v>85</v>
      </c>
      <c r="Q43" s="24" t="s">
        <v>85</v>
      </c>
      <c r="R43" s="24" t="s">
        <v>85</v>
      </c>
      <c r="S43" s="24" t="s">
        <v>85</v>
      </c>
      <c r="T43" s="16">
        <v>0</v>
      </c>
      <c r="U43" s="20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130</v>
      </c>
      <c r="D44" s="7" t="s">
        <v>97</v>
      </c>
      <c r="E44" s="7" t="s">
        <v>82</v>
      </c>
      <c r="F44" s="7">
        <v>1.33</v>
      </c>
      <c r="G44" s="7">
        <v>1.33</v>
      </c>
      <c r="H44" s="7" t="s">
        <v>83</v>
      </c>
      <c r="I44" s="7" t="s">
        <v>71</v>
      </c>
      <c r="J44" s="7" t="s">
        <v>218</v>
      </c>
      <c r="K44" s="8">
        <f>F44*1.06</f>
      </c>
      <c r="L44" s="9">
        <v>549.4464</v>
      </c>
      <c r="M44" s="10">
        <v>231</v>
      </c>
      <c r="N44" s="10">
        <v>377</v>
      </c>
      <c r="O44" s="11">
        <f>IFERROR((N44-M44)*K44,0)</f>
      </c>
      <c r="P44" s="23" t="s">
        <v>85</v>
      </c>
      <c r="Q44" s="23" t="s">
        <v>85</v>
      </c>
      <c r="R44" s="23" t="s">
        <v>85</v>
      </c>
      <c r="S44" s="23" t="s">
        <v>85</v>
      </c>
      <c r="T44" s="8">
        <v>0</v>
      </c>
      <c r="U44" s="12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130</v>
      </c>
      <c r="D45" s="15" t="s">
        <v>113</v>
      </c>
      <c r="E45" s="15" t="s">
        <v>114</v>
      </c>
      <c r="F45" s="15">
        <v>1.25</v>
      </c>
      <c r="G45" s="15">
        <v>1.25</v>
      </c>
      <c r="H45" s="15" t="s">
        <v>83</v>
      </c>
      <c r="I45" s="15" t="s">
        <v>71</v>
      </c>
      <c r="J45" s="15" t="s">
        <v>219</v>
      </c>
      <c r="K45" s="16">
        <f>F45*1.06</f>
      </c>
      <c r="L45" s="17">
        <v>478.9628</v>
      </c>
      <c r="M45" s="18">
        <v>231</v>
      </c>
      <c r="N45" s="18">
        <v>377</v>
      </c>
      <c r="O45" s="19">
        <f>IFERROR((N45-M45)*K45,0)</f>
      </c>
      <c r="P45" s="24" t="s">
        <v>85</v>
      </c>
      <c r="Q45" s="24" t="s">
        <v>85</v>
      </c>
      <c r="R45" s="24" t="s">
        <v>85</v>
      </c>
      <c r="S45" s="24" t="s">
        <v>85</v>
      </c>
      <c r="T45" s="16">
        <v>0</v>
      </c>
      <c r="U45" s="20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130</v>
      </c>
      <c r="D46" s="7" t="s">
        <v>220</v>
      </c>
      <c r="E46" s="7" t="s">
        <v>221</v>
      </c>
      <c r="F46" s="7">
        <v>0.168</v>
      </c>
      <c r="G46" s="7">
        <v>0.163</v>
      </c>
      <c r="H46" s="7" t="s">
        <v>83</v>
      </c>
      <c r="I46" s="7" t="s">
        <v>38</v>
      </c>
      <c r="J46" s="7" t="s">
        <v>222</v>
      </c>
      <c r="K46" s="8">
        <f>F46*1.06</f>
      </c>
      <c r="L46" s="9">
        <v>179.924</v>
      </c>
      <c r="M46" s="10">
        <v>239</v>
      </c>
      <c r="N46" s="10">
        <v>369</v>
      </c>
      <c r="O46" s="11">
        <f>IFERROR((N46-M46)*K46,0)</f>
      </c>
      <c r="P46" s="10">
        <v>154</v>
      </c>
      <c r="Q46" s="10">
        <v>239</v>
      </c>
      <c r="R46" s="10">
        <v>369</v>
      </c>
      <c r="S46" s="8">
        <f>IFERROR((P46/Q46)*R46,0)</f>
      </c>
      <c r="T46" s="8">
        <f>IFERROR((S46-P46)*((F46-G46)*0.8),0)</f>
      </c>
      <c r="U46" s="12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130</v>
      </c>
      <c r="D47" s="15" t="s">
        <v>223</v>
      </c>
      <c r="E47" s="15" t="s">
        <v>224</v>
      </c>
      <c r="F47" s="15">
        <v>0.358</v>
      </c>
      <c r="G47" s="15">
        <v>0.326</v>
      </c>
      <c r="H47" s="15" t="s">
        <v>83</v>
      </c>
      <c r="I47" s="15" t="s">
        <v>38</v>
      </c>
      <c r="J47" s="15" t="s">
        <v>225</v>
      </c>
      <c r="K47" s="16">
        <f>F47*1.06</f>
      </c>
      <c r="L47" s="17">
        <v>226.0748</v>
      </c>
      <c r="M47" s="18">
        <v>239</v>
      </c>
      <c r="N47" s="18">
        <v>369</v>
      </c>
      <c r="O47" s="19">
        <f>IFERROR((N47-M47)*K47,0)</f>
      </c>
      <c r="P47" s="18">
        <v>154</v>
      </c>
      <c r="Q47" s="18">
        <v>239</v>
      </c>
      <c r="R47" s="18">
        <v>369</v>
      </c>
      <c r="S47" s="16">
        <f>IFERROR((P47/Q47)*R47,0)</f>
      </c>
      <c r="T47" s="16">
        <f>IFERROR((S47-P47)*((F47-G47)*0.8),0)</f>
      </c>
      <c r="U47" s="20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130</v>
      </c>
      <c r="D48" s="7" t="s">
        <v>68</v>
      </c>
      <c r="E48" s="7" t="s">
        <v>69</v>
      </c>
      <c r="F48" s="7">
        <v>0.444</v>
      </c>
      <c r="G48" s="7">
        <v>0.386</v>
      </c>
      <c r="H48" s="7" t="s">
        <v>83</v>
      </c>
      <c r="I48" s="7" t="s">
        <v>71</v>
      </c>
      <c r="J48" s="7" t="s">
        <v>226</v>
      </c>
      <c r="K48" s="8">
        <f>F48*1.06</f>
      </c>
      <c r="L48" s="9">
        <v>231.1513</v>
      </c>
      <c r="M48" s="10">
        <v>231</v>
      </c>
      <c r="N48" s="10">
        <v>377</v>
      </c>
      <c r="O48" s="11">
        <f>IFERROR((N48-M48)*K48,0)</f>
      </c>
      <c r="P48" s="10">
        <v>154</v>
      </c>
      <c r="Q48" s="10">
        <v>239</v>
      </c>
      <c r="R48" s="10">
        <v>369</v>
      </c>
      <c r="S48" s="8">
        <f>IFERROR((P48/Q48)*R48,0)</f>
      </c>
      <c r="T48" s="8">
        <f>IFERROR((S48-P48)*((F48-G48)*0.8),0)</f>
      </c>
      <c r="U48" s="12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130</v>
      </c>
      <c r="D49" s="15" t="s">
        <v>227</v>
      </c>
      <c r="E49" s="15" t="s">
        <v>228</v>
      </c>
      <c r="F49" s="15">
        <v>0.3095</v>
      </c>
      <c r="G49" s="15">
        <v>0.29</v>
      </c>
      <c r="H49" s="15" t="s">
        <v>83</v>
      </c>
      <c r="I49" s="15" t="s">
        <v>38</v>
      </c>
      <c r="J49" s="15" t="s">
        <v>229</v>
      </c>
      <c r="K49" s="16">
        <f>F49*1.06</f>
      </c>
      <c r="L49" s="17">
        <v>191.784</v>
      </c>
      <c r="M49" s="18">
        <v>239</v>
      </c>
      <c r="N49" s="18">
        <v>369</v>
      </c>
      <c r="O49" s="19">
        <f>IFERROR((N49-M49)*K49,0)</f>
      </c>
      <c r="P49" s="18">
        <v>154</v>
      </c>
      <c r="Q49" s="18">
        <v>239</v>
      </c>
      <c r="R49" s="18">
        <v>369</v>
      </c>
      <c r="S49" s="16">
        <f>IFERROR((P49/Q49)*R49,0)</f>
      </c>
      <c r="T49" s="16">
        <f>IFERROR((S49-P49)*((F49-G49)*0.8),0)</f>
      </c>
      <c r="U49" s="20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130</v>
      </c>
      <c r="D50" s="7" t="s">
        <v>230</v>
      </c>
      <c r="E50" s="7" t="s">
        <v>231</v>
      </c>
      <c r="F50" s="7">
        <v>0.3095</v>
      </c>
      <c r="G50" s="7">
        <v>0.29</v>
      </c>
      <c r="H50" s="7" t="s">
        <v>83</v>
      </c>
      <c r="I50" s="7" t="s">
        <v>38</v>
      </c>
      <c r="J50" s="7" t="s">
        <v>232</v>
      </c>
      <c r="K50" s="8">
        <f>F50*1.06</f>
      </c>
      <c r="L50" s="9">
        <v>191.784</v>
      </c>
      <c r="M50" s="10">
        <v>239</v>
      </c>
      <c r="N50" s="10">
        <v>369</v>
      </c>
      <c r="O50" s="11">
        <f>IFERROR((N50-M50)*K50,0)</f>
      </c>
      <c r="P50" s="10">
        <v>154</v>
      </c>
      <c r="Q50" s="10">
        <v>239</v>
      </c>
      <c r="R50" s="10">
        <v>369</v>
      </c>
      <c r="S50" s="8">
        <f>IFERROR((P50/Q50)*R50,0)</f>
      </c>
      <c r="T50" s="8">
        <f>IFERROR((S50-P50)*((F50-G50)*0.8),0)</f>
      </c>
      <c r="U50" s="12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130</v>
      </c>
      <c r="D51" s="15" t="s">
        <v>233</v>
      </c>
      <c r="E51" s="15" t="s">
        <v>82</v>
      </c>
      <c r="F51" s="15">
        <v>0.3584</v>
      </c>
      <c r="G51" s="15">
        <v>0.327</v>
      </c>
      <c r="H51" s="15" t="s">
        <v>83</v>
      </c>
      <c r="I51" s="15" t="s">
        <v>38</v>
      </c>
      <c r="J51" s="15" t="s">
        <v>234</v>
      </c>
      <c r="K51" s="16">
        <f>F51*1.06</f>
      </c>
      <c r="L51" s="17">
        <v>226.0241</v>
      </c>
      <c r="M51" s="18">
        <v>239</v>
      </c>
      <c r="N51" s="18">
        <v>369</v>
      </c>
      <c r="O51" s="19">
        <f>IFERROR((N51-M51)*K51,0)</f>
      </c>
      <c r="P51" s="18">
        <v>154</v>
      </c>
      <c r="Q51" s="18">
        <v>239</v>
      </c>
      <c r="R51" s="18">
        <v>369</v>
      </c>
      <c r="S51" s="16">
        <f>IFERROR((P51/Q51)*R51,0)</f>
      </c>
      <c r="T51" s="16">
        <f>IFERROR((S51-P51)*((F51-G51)*0.8),0)</f>
      </c>
      <c r="U51" s="20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130</v>
      </c>
      <c r="D52" s="7" t="s">
        <v>235</v>
      </c>
      <c r="E52" s="7" t="s">
        <v>236</v>
      </c>
      <c r="F52" s="7">
        <v>1.33</v>
      </c>
      <c r="G52" s="7">
        <v>1.33</v>
      </c>
      <c r="H52" s="7" t="s">
        <v>83</v>
      </c>
      <c r="I52" s="7" t="s">
        <v>71</v>
      </c>
      <c r="J52" s="7" t="s">
        <v>237</v>
      </c>
      <c r="K52" s="8">
        <f>F52*1.06</f>
      </c>
      <c r="L52" s="9">
        <v>529.5564</v>
      </c>
      <c r="M52" s="10">
        <v>231</v>
      </c>
      <c r="N52" s="10">
        <v>377</v>
      </c>
      <c r="O52" s="11">
        <f>IFERROR((N52-M52)*K52,0)</f>
      </c>
      <c r="P52" s="23" t="s">
        <v>85</v>
      </c>
      <c r="Q52" s="23" t="s">
        <v>85</v>
      </c>
      <c r="R52" s="23" t="s">
        <v>85</v>
      </c>
      <c r="S52" s="23" t="s">
        <v>85</v>
      </c>
      <c r="T52" s="8">
        <v>0</v>
      </c>
      <c r="U52" s="12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130</v>
      </c>
      <c r="D53" s="15" t="s">
        <v>238</v>
      </c>
      <c r="E53" s="15" t="s">
        <v>239</v>
      </c>
      <c r="F53" s="15">
        <v>1.33</v>
      </c>
      <c r="G53" s="15">
        <v>1.21</v>
      </c>
      <c r="H53" s="15" t="s">
        <v>83</v>
      </c>
      <c r="I53" s="15" t="s">
        <v>71</v>
      </c>
      <c r="J53" s="15" t="s">
        <v>240</v>
      </c>
      <c r="K53" s="16">
        <f>F53*1.06</f>
      </c>
      <c r="L53" s="17">
        <v>690.3685</v>
      </c>
      <c r="M53" s="18">
        <v>231</v>
      </c>
      <c r="N53" s="18">
        <v>377</v>
      </c>
      <c r="O53" s="19">
        <f>IFERROR((N53-M53)*K53,0)</f>
      </c>
      <c r="P53" s="18">
        <v>154</v>
      </c>
      <c r="Q53" s="18">
        <v>239</v>
      </c>
      <c r="R53" s="18">
        <v>369</v>
      </c>
      <c r="S53" s="16">
        <f>IFERROR((P53/Q53)*R53,0)</f>
      </c>
      <c r="T53" s="16">
        <f>IFERROR((S53-P53)*((F53-G53)*0.8),0)</f>
      </c>
      <c r="U53" s="20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130</v>
      </c>
      <c r="D54" s="7" t="s">
        <v>241</v>
      </c>
      <c r="E54" s="7" t="s">
        <v>242</v>
      </c>
      <c r="F54" s="7">
        <v>0.3</v>
      </c>
      <c r="G54" s="7">
        <v>0.24</v>
      </c>
      <c r="H54" s="7" t="s">
        <v>83</v>
      </c>
      <c r="I54" s="7" t="s">
        <v>71</v>
      </c>
      <c r="J54" s="7" t="s">
        <v>243</v>
      </c>
      <c r="K54" s="8">
        <f>F54*1.06</f>
      </c>
      <c r="L54" s="9">
        <v>159.0121</v>
      </c>
      <c r="M54" s="10">
        <v>231</v>
      </c>
      <c r="N54" s="10">
        <v>377</v>
      </c>
      <c r="O54" s="11">
        <f>IFERROR((N54-M54)*K54,0)</f>
      </c>
      <c r="P54" s="10">
        <v>154</v>
      </c>
      <c r="Q54" s="10">
        <v>239</v>
      </c>
      <c r="R54" s="10">
        <v>369</v>
      </c>
      <c r="S54" s="8">
        <f>IFERROR((P54/Q54)*R54,0)</f>
      </c>
      <c r="T54" s="8">
        <f>IFERROR((S54-P54)*((F54-G54)*0.8),0)</f>
      </c>
      <c r="U54" s="12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130</v>
      </c>
      <c r="D55" s="15" t="s">
        <v>244</v>
      </c>
      <c r="E55" s="15" t="s">
        <v>242</v>
      </c>
      <c r="F55" s="15">
        <v>0.304</v>
      </c>
      <c r="G55" s="15">
        <v>0.264</v>
      </c>
      <c r="H55" s="15" t="s">
        <v>83</v>
      </c>
      <c r="I55" s="15" t="s">
        <v>71</v>
      </c>
      <c r="J55" s="15" t="s">
        <v>245</v>
      </c>
      <c r="K55" s="16">
        <f>F55*1.06</f>
      </c>
      <c r="L55" s="17">
        <v>158.5842</v>
      </c>
      <c r="M55" s="18">
        <v>231</v>
      </c>
      <c r="N55" s="18">
        <v>377</v>
      </c>
      <c r="O55" s="19">
        <f>IFERROR((N55-M55)*K55,0)</f>
      </c>
      <c r="P55" s="18">
        <v>154</v>
      </c>
      <c r="Q55" s="18">
        <v>239</v>
      </c>
      <c r="R55" s="18">
        <v>369</v>
      </c>
      <c r="S55" s="16">
        <f>IFERROR((P55/Q55)*R55,0)</f>
      </c>
      <c r="T55" s="16">
        <f>IFERROR((S55-P55)*((F55-G55)*0.8),0)</f>
      </c>
      <c r="U55" s="20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130</v>
      </c>
      <c r="D56" s="7" t="s">
        <v>246</v>
      </c>
      <c r="E56" s="7" t="s">
        <v>242</v>
      </c>
      <c r="F56" s="7">
        <v>0.287</v>
      </c>
      <c r="G56" s="7">
        <v>0.252</v>
      </c>
      <c r="H56" s="7" t="s">
        <v>83</v>
      </c>
      <c r="I56" s="7" t="s">
        <v>71</v>
      </c>
      <c r="J56" s="7" t="s">
        <v>247</v>
      </c>
      <c r="K56" s="8">
        <f>F56*1.06</f>
      </c>
      <c r="L56" s="9">
        <v>158.9208</v>
      </c>
      <c r="M56" s="10">
        <v>231</v>
      </c>
      <c r="N56" s="10">
        <v>377</v>
      </c>
      <c r="O56" s="11">
        <f>IFERROR((N56-M56)*K56,0)</f>
      </c>
      <c r="P56" s="10">
        <v>154</v>
      </c>
      <c r="Q56" s="10">
        <v>239</v>
      </c>
      <c r="R56" s="10">
        <v>369</v>
      </c>
      <c r="S56" s="8">
        <f>IFERROR((P56/Q56)*R56,0)</f>
      </c>
      <c r="T56" s="8">
        <f>IFERROR((S56-P56)*((F56-G56)*0.8),0)</f>
      </c>
      <c r="U56" s="12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130</v>
      </c>
      <c r="D57" s="15" t="s">
        <v>248</v>
      </c>
      <c r="E57" s="15" t="s">
        <v>49</v>
      </c>
      <c r="F57" s="15">
        <v>0.116</v>
      </c>
      <c r="G57" s="15">
        <v>0.116</v>
      </c>
      <c r="H57" s="15" t="s">
        <v>83</v>
      </c>
      <c r="I57" s="15" t="s">
        <v>38</v>
      </c>
      <c r="J57" s="15" t="s">
        <v>249</v>
      </c>
      <c r="K57" s="16">
        <f>F57*1.06</f>
      </c>
      <c r="L57" s="17">
        <v>88.5344</v>
      </c>
      <c r="M57" s="18">
        <v>239</v>
      </c>
      <c r="N57" s="18">
        <v>369</v>
      </c>
      <c r="O57" s="19">
        <f>IFERROR((N57-M57)*K57,0)</f>
      </c>
      <c r="P57" s="24" t="s">
        <v>85</v>
      </c>
      <c r="Q57" s="24" t="s">
        <v>85</v>
      </c>
      <c r="R57" s="24" t="s">
        <v>85</v>
      </c>
      <c r="S57" s="24" t="s">
        <v>85</v>
      </c>
      <c r="T57" s="16">
        <v>0</v>
      </c>
      <c r="U57" s="20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130</v>
      </c>
      <c r="D58" s="7" t="s">
        <v>250</v>
      </c>
      <c r="E58" s="7" t="s">
        <v>117</v>
      </c>
      <c r="F58" s="7">
        <v>0.668</v>
      </c>
      <c r="G58" s="7">
        <v>0.663</v>
      </c>
      <c r="H58" s="7" t="s">
        <v>83</v>
      </c>
      <c r="I58" s="7" t="s">
        <v>71</v>
      </c>
      <c r="J58" s="7" t="s">
        <v>251</v>
      </c>
      <c r="K58" s="8">
        <f>F58*1.06</f>
      </c>
      <c r="L58" s="9">
        <v>317.4291</v>
      </c>
      <c r="M58" s="10">
        <v>231</v>
      </c>
      <c r="N58" s="10">
        <v>377</v>
      </c>
      <c r="O58" s="11">
        <f>IFERROR((N58-M58)*K58,0)</f>
      </c>
      <c r="P58" s="10">
        <v>154</v>
      </c>
      <c r="Q58" s="10">
        <v>239</v>
      </c>
      <c r="R58" s="10">
        <v>369</v>
      </c>
      <c r="S58" s="8">
        <f>IFERROR((P58/Q58)*R58,0)</f>
      </c>
      <c r="T58" s="8">
        <f>IFERROR((S58-P58)*((F58-G58)*0.8),0)</f>
      </c>
      <c r="U58" s="12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130</v>
      </c>
      <c r="D59" s="15" t="s">
        <v>252</v>
      </c>
      <c r="E59" s="15" t="s">
        <v>82</v>
      </c>
      <c r="F59" s="15">
        <v>0.84</v>
      </c>
      <c r="G59" s="15">
        <v>0.84</v>
      </c>
      <c r="H59" s="15" t="s">
        <v>83</v>
      </c>
      <c r="I59" s="15" t="s">
        <v>38</v>
      </c>
      <c r="J59" s="15" t="s">
        <v>253</v>
      </c>
      <c r="K59" s="16">
        <f>F59*1.06</f>
      </c>
      <c r="L59" s="17">
        <v>369.243</v>
      </c>
      <c r="M59" s="18">
        <v>239</v>
      </c>
      <c r="N59" s="18">
        <v>369</v>
      </c>
      <c r="O59" s="19">
        <f>IFERROR((N59-M59)*K59,0)</f>
      </c>
      <c r="P59" s="24" t="s">
        <v>85</v>
      </c>
      <c r="Q59" s="24" t="s">
        <v>85</v>
      </c>
      <c r="R59" s="24" t="s">
        <v>85</v>
      </c>
      <c r="S59" s="24" t="s">
        <v>85</v>
      </c>
      <c r="T59" s="16">
        <v>0</v>
      </c>
      <c r="U59" s="20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130</v>
      </c>
      <c r="D60" s="7" t="s">
        <v>254</v>
      </c>
      <c r="E60" s="7" t="s">
        <v>82</v>
      </c>
      <c r="F60" s="7">
        <v>1.33</v>
      </c>
      <c r="G60" s="7">
        <v>1.21</v>
      </c>
      <c r="H60" s="7" t="s">
        <v>83</v>
      </c>
      <c r="I60" s="7" t="s">
        <v>71</v>
      </c>
      <c r="J60" s="7" t="s">
        <v>255</v>
      </c>
      <c r="K60" s="8">
        <f>F60*1.06</f>
      </c>
      <c r="L60" s="9">
        <v>690.3685</v>
      </c>
      <c r="M60" s="10">
        <v>231</v>
      </c>
      <c r="N60" s="10">
        <v>377</v>
      </c>
      <c r="O60" s="11">
        <f>IFERROR((N60-M60)*K60,0)</f>
      </c>
      <c r="P60" s="10">
        <v>154</v>
      </c>
      <c r="Q60" s="10">
        <v>239</v>
      </c>
      <c r="R60" s="10">
        <v>369</v>
      </c>
      <c r="S60" s="8">
        <f>IFERROR((P60/Q60)*R60,0)</f>
      </c>
      <c r="T60" s="8">
        <f>IFERROR((S60-P60)*((F60-G60)*0.8),0)</f>
      </c>
      <c r="U60" s="12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130</v>
      </c>
      <c r="D61" s="15" t="s">
        <v>256</v>
      </c>
      <c r="E61" s="15" t="s">
        <v>82</v>
      </c>
      <c r="F61" s="15">
        <v>1.33</v>
      </c>
      <c r="G61" s="15">
        <v>1.21</v>
      </c>
      <c r="H61" s="15" t="s">
        <v>83</v>
      </c>
      <c r="I61" s="15" t="s">
        <v>71</v>
      </c>
      <c r="J61" s="15" t="s">
        <v>257</v>
      </c>
      <c r="K61" s="16">
        <f>F61*1.06</f>
      </c>
      <c r="L61" s="17">
        <v>690.3685</v>
      </c>
      <c r="M61" s="18">
        <v>231</v>
      </c>
      <c r="N61" s="18">
        <v>377</v>
      </c>
      <c r="O61" s="19">
        <f>IFERROR((N61-M61)*K61,0)</f>
      </c>
      <c r="P61" s="18">
        <v>154</v>
      </c>
      <c r="Q61" s="18">
        <v>239</v>
      </c>
      <c r="R61" s="18">
        <v>369</v>
      </c>
      <c r="S61" s="16">
        <f>IFERROR((P61/Q61)*R61,0)</f>
      </c>
      <c r="T61" s="16">
        <f>IFERROR((S61-P61)*((F61-G61)*0.8),0)</f>
      </c>
      <c r="U61" s="20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130</v>
      </c>
      <c r="D62" s="7" t="s">
        <v>258</v>
      </c>
      <c r="E62" s="7" t="s">
        <v>82</v>
      </c>
      <c r="F62" s="7">
        <v>1.33</v>
      </c>
      <c r="G62" s="7">
        <v>1.21</v>
      </c>
      <c r="H62" s="7" t="s">
        <v>83</v>
      </c>
      <c r="I62" s="7" t="s">
        <v>71</v>
      </c>
      <c r="J62" s="7" t="s">
        <v>259</v>
      </c>
      <c r="K62" s="8">
        <f>F62*1.06</f>
      </c>
      <c r="L62" s="9">
        <v>690.3685</v>
      </c>
      <c r="M62" s="10">
        <v>231</v>
      </c>
      <c r="N62" s="10">
        <v>377</v>
      </c>
      <c r="O62" s="11">
        <f>IFERROR((N62-M62)*K62,0)</f>
      </c>
      <c r="P62" s="10">
        <v>154</v>
      </c>
      <c r="Q62" s="10">
        <v>239</v>
      </c>
      <c r="R62" s="10">
        <v>369</v>
      </c>
      <c r="S62" s="8">
        <f>IFERROR((P62/Q62)*R62,0)</f>
      </c>
      <c r="T62" s="8">
        <f>IFERROR((S62-P62)*((F62-G62)*0.8),0)</f>
      </c>
      <c r="U62" s="12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130</v>
      </c>
      <c r="D63" s="15" t="s">
        <v>260</v>
      </c>
      <c r="E63" s="15" t="s">
        <v>82</v>
      </c>
      <c r="F63" s="15">
        <v>1.33</v>
      </c>
      <c r="G63" s="15">
        <v>1.21</v>
      </c>
      <c r="H63" s="15" t="s">
        <v>83</v>
      </c>
      <c r="I63" s="15" t="s">
        <v>71</v>
      </c>
      <c r="J63" s="15" t="s">
        <v>261</v>
      </c>
      <c r="K63" s="16">
        <f>F63*1.06</f>
      </c>
      <c r="L63" s="17">
        <v>690.3685</v>
      </c>
      <c r="M63" s="18">
        <v>231</v>
      </c>
      <c r="N63" s="18">
        <v>377</v>
      </c>
      <c r="O63" s="19">
        <f>IFERROR((N63-M63)*K63,0)</f>
      </c>
      <c r="P63" s="18">
        <v>154</v>
      </c>
      <c r="Q63" s="18">
        <v>239</v>
      </c>
      <c r="R63" s="18">
        <v>369</v>
      </c>
      <c r="S63" s="16">
        <f>IFERROR((P63/Q63)*R63,0)</f>
      </c>
      <c r="T63" s="16">
        <f>IFERROR((S63-P63)*((F63-G63)*0.8),0)</f>
      </c>
      <c r="U63" s="20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130</v>
      </c>
      <c r="D64" s="7" t="s">
        <v>262</v>
      </c>
      <c r="E64" s="7" t="s">
        <v>82</v>
      </c>
      <c r="F64" s="7">
        <v>1.33</v>
      </c>
      <c r="G64" s="7">
        <v>1.21</v>
      </c>
      <c r="H64" s="7" t="s">
        <v>83</v>
      </c>
      <c r="I64" s="7" t="s">
        <v>71</v>
      </c>
      <c r="J64" s="7" t="s">
        <v>263</v>
      </c>
      <c r="K64" s="8">
        <f>F64*1.06</f>
      </c>
      <c r="L64" s="9">
        <v>690.3685</v>
      </c>
      <c r="M64" s="10">
        <v>231</v>
      </c>
      <c r="N64" s="10">
        <v>377</v>
      </c>
      <c r="O64" s="11">
        <f>IFERROR((N64-M64)*K64,0)</f>
      </c>
      <c r="P64" s="10">
        <v>154</v>
      </c>
      <c r="Q64" s="10">
        <v>239</v>
      </c>
      <c r="R64" s="10">
        <v>369</v>
      </c>
      <c r="S64" s="8">
        <f>IFERROR((P64/Q64)*R64,0)</f>
      </c>
      <c r="T64" s="8">
        <f>IFERROR((S64-P64)*((F64-G64)*0.8),0)</f>
      </c>
      <c r="U64" s="12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130</v>
      </c>
      <c r="D65" s="15" t="s">
        <v>264</v>
      </c>
      <c r="E65" s="15" t="s">
        <v>82</v>
      </c>
      <c r="F65" s="15">
        <v>1.12</v>
      </c>
      <c r="G65" s="15">
        <v>1.1</v>
      </c>
      <c r="H65" s="15" t="s">
        <v>83</v>
      </c>
      <c r="I65" s="15" t="s">
        <v>71</v>
      </c>
      <c r="J65" s="15" t="s">
        <v>265</v>
      </c>
      <c r="K65" s="16">
        <f>F65*1.06</f>
      </c>
      <c r="L65" s="17">
        <v>573.6643</v>
      </c>
      <c r="M65" s="18">
        <v>231</v>
      </c>
      <c r="N65" s="18">
        <v>377</v>
      </c>
      <c r="O65" s="19">
        <f>IFERROR((N65-M65)*K65,0)</f>
      </c>
      <c r="P65" s="18">
        <v>154</v>
      </c>
      <c r="Q65" s="18">
        <v>239</v>
      </c>
      <c r="R65" s="18">
        <v>369</v>
      </c>
      <c r="S65" s="16">
        <f>IFERROR((P65/Q65)*R65,0)</f>
      </c>
      <c r="T65" s="16">
        <f>IFERROR((S65-P65)*((F65-G65)*0.8),0)</f>
      </c>
      <c r="U65" s="20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130</v>
      </c>
      <c r="D66" s="7" t="s">
        <v>40</v>
      </c>
      <c r="E66" s="7" t="s">
        <v>41</v>
      </c>
      <c r="F66" s="7">
        <v>1.182</v>
      </c>
      <c r="G66" s="7">
        <v>1.172</v>
      </c>
      <c r="H66" s="7" t="s">
        <v>83</v>
      </c>
      <c r="I66" s="7" t="s">
        <v>38</v>
      </c>
      <c r="J66" s="7" t="s">
        <v>266</v>
      </c>
      <c r="K66" s="8">
        <f>F66*1.06</f>
      </c>
      <c r="L66" s="9">
        <v>510.946</v>
      </c>
      <c r="M66" s="10">
        <v>239</v>
      </c>
      <c r="N66" s="10">
        <v>369</v>
      </c>
      <c r="O66" s="11">
        <f>IFERROR((N66-M66)*K66,0)</f>
      </c>
      <c r="P66" s="10">
        <v>154</v>
      </c>
      <c r="Q66" s="10">
        <v>239</v>
      </c>
      <c r="R66" s="10">
        <v>369</v>
      </c>
      <c r="S66" s="8">
        <f>IFERROR((P66/Q66)*R66,0)</f>
      </c>
      <c r="T66" s="8">
        <f>IFERROR((S66-P66)*((F66-G66)*0.8),0)</f>
      </c>
      <c r="U66" s="12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130</v>
      </c>
      <c r="D67" s="15" t="s">
        <v>267</v>
      </c>
      <c r="E67" s="15" t="s">
        <v>268</v>
      </c>
      <c r="F67" s="15">
        <v>0.713</v>
      </c>
      <c r="G67" s="15">
        <v>0.713</v>
      </c>
      <c r="H67" s="15" t="s">
        <v>83</v>
      </c>
      <c r="I67" s="15" t="s">
        <v>46</v>
      </c>
      <c r="J67" s="15" t="s">
        <v>269</v>
      </c>
      <c r="K67" s="16">
        <f>F67*1.06</f>
      </c>
      <c r="L67" s="17">
        <v>287.0465</v>
      </c>
      <c r="M67" s="18">
        <v>250</v>
      </c>
      <c r="N67" s="18">
        <v>381</v>
      </c>
      <c r="O67" s="19">
        <f>IFERROR((N67-M67)*K67,0)</f>
      </c>
      <c r="P67" s="24" t="s">
        <v>85</v>
      </c>
      <c r="Q67" s="24" t="s">
        <v>85</v>
      </c>
      <c r="R67" s="24" t="s">
        <v>85</v>
      </c>
      <c r="S67" s="24" t="s">
        <v>85</v>
      </c>
      <c r="T67" s="16">
        <v>0</v>
      </c>
      <c r="U67" s="20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130</v>
      </c>
      <c r="D68" s="7" t="s">
        <v>270</v>
      </c>
      <c r="E68" s="7" t="s">
        <v>271</v>
      </c>
      <c r="F68" s="7">
        <v>0.595</v>
      </c>
      <c r="G68" s="7">
        <v>0.595</v>
      </c>
      <c r="H68" s="7" t="s">
        <v>83</v>
      </c>
      <c r="I68" s="7" t="s">
        <v>46</v>
      </c>
      <c r="J68" s="7" t="s">
        <v>272</v>
      </c>
      <c r="K68" s="8">
        <f>F68*1.06</f>
      </c>
      <c r="L68" s="9">
        <v>239.6341</v>
      </c>
      <c r="M68" s="10">
        <v>250</v>
      </c>
      <c r="N68" s="10">
        <v>381</v>
      </c>
      <c r="O68" s="11">
        <f>IFERROR((N68-M68)*K68,0)</f>
      </c>
      <c r="P68" s="23" t="s">
        <v>85</v>
      </c>
      <c r="Q68" s="23" t="s">
        <v>85</v>
      </c>
      <c r="R68" s="23" t="s">
        <v>85</v>
      </c>
      <c r="S68" s="23" t="s">
        <v>85</v>
      </c>
      <c r="T68" s="8">
        <v>0</v>
      </c>
      <c r="U68" s="12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130</v>
      </c>
      <c r="D69" s="15" t="s">
        <v>75</v>
      </c>
      <c r="E69" s="15" t="s">
        <v>76</v>
      </c>
      <c r="F69" s="15">
        <v>2.724</v>
      </c>
      <c r="G69" s="15">
        <v>2.66</v>
      </c>
      <c r="H69" s="15" t="s">
        <v>83</v>
      </c>
      <c r="I69" s="15" t="s">
        <v>71</v>
      </c>
      <c r="J69" s="15" t="s">
        <v>273</v>
      </c>
      <c r="K69" s="16">
        <f>F69*1.06</f>
      </c>
      <c r="L69" s="17">
        <v>1262.8634</v>
      </c>
      <c r="M69" s="18">
        <v>231</v>
      </c>
      <c r="N69" s="18">
        <v>377</v>
      </c>
      <c r="O69" s="19">
        <f>IFERROR((N69-M69)*K69,0)</f>
      </c>
      <c r="P69" s="18">
        <v>154</v>
      </c>
      <c r="Q69" s="18">
        <v>239</v>
      </c>
      <c r="R69" s="18">
        <v>369</v>
      </c>
      <c r="S69" s="16">
        <f>IFERROR((P69/Q69)*R69,0)</f>
      </c>
      <c r="T69" s="16">
        <f>IFERROR((S69-P69)*((F69-G69)*0.8),0)</f>
      </c>
      <c r="U69" s="20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130</v>
      </c>
      <c r="D70" s="7" t="s">
        <v>274</v>
      </c>
      <c r="E70" s="7" t="s">
        <v>275</v>
      </c>
      <c r="F70" s="7">
        <v>0.64</v>
      </c>
      <c r="G70" s="7">
        <v>0.598</v>
      </c>
      <c r="H70" s="7" t="s">
        <v>83</v>
      </c>
      <c r="I70" s="7" t="s">
        <v>38</v>
      </c>
      <c r="J70" s="7" t="s">
        <v>276</v>
      </c>
      <c r="K70" s="8">
        <f>F70*1.06</f>
      </c>
      <c r="L70" s="9">
        <v>315.7577</v>
      </c>
      <c r="M70" s="10">
        <v>239</v>
      </c>
      <c r="N70" s="10">
        <v>369</v>
      </c>
      <c r="O70" s="11">
        <f>IFERROR((N70-M70)*K70,0)</f>
      </c>
      <c r="P70" s="10">
        <v>154</v>
      </c>
      <c r="Q70" s="10">
        <v>239</v>
      </c>
      <c r="R70" s="10">
        <v>369</v>
      </c>
      <c r="S70" s="8">
        <f>IFERROR((P70/Q70)*R70,0)</f>
      </c>
      <c r="T70" s="8">
        <f>IFERROR((S70-P70)*((F70-G70)*0.8),0)</f>
      </c>
      <c r="U70" s="12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130</v>
      </c>
      <c r="D71" s="15" t="s">
        <v>277</v>
      </c>
      <c r="E71" s="15" t="s">
        <v>212</v>
      </c>
      <c r="F71" s="15">
        <v>0.617</v>
      </c>
      <c r="G71" s="15">
        <v>0.617</v>
      </c>
      <c r="H71" s="15" t="s">
        <v>83</v>
      </c>
      <c r="I71" s="15" t="s">
        <v>38</v>
      </c>
      <c r="J71" s="15" t="s">
        <v>278</v>
      </c>
      <c r="K71" s="16">
        <f>F71*1.06</f>
      </c>
      <c r="L71" s="17">
        <v>268.393</v>
      </c>
      <c r="M71" s="18">
        <v>239</v>
      </c>
      <c r="N71" s="18">
        <v>369</v>
      </c>
      <c r="O71" s="19">
        <f>IFERROR((N71-M71)*K71,0)</f>
      </c>
      <c r="P71" s="24" t="s">
        <v>85</v>
      </c>
      <c r="Q71" s="24" t="s">
        <v>85</v>
      </c>
      <c r="R71" s="24" t="s">
        <v>85</v>
      </c>
      <c r="S71" s="24" t="s">
        <v>85</v>
      </c>
      <c r="T71" s="16">
        <v>0</v>
      </c>
      <c r="U71" s="20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130</v>
      </c>
      <c r="D72" s="7" t="s">
        <v>279</v>
      </c>
      <c r="E72" s="7" t="s">
        <v>280</v>
      </c>
      <c r="F72" s="7">
        <v>0.052</v>
      </c>
      <c r="G72" s="7">
        <v>0.052</v>
      </c>
      <c r="H72" s="7" t="s">
        <v>83</v>
      </c>
      <c r="I72" s="7" t="s">
        <v>38</v>
      </c>
      <c r="J72" s="7" t="s">
        <v>281</v>
      </c>
      <c r="K72" s="8">
        <f>F72*1.06</f>
      </c>
      <c r="L72" s="9">
        <v>41.1289</v>
      </c>
      <c r="M72" s="10">
        <v>239</v>
      </c>
      <c r="N72" s="10">
        <v>369</v>
      </c>
      <c r="O72" s="11">
        <f>IFERROR((N72-M72)*K72,0)</f>
      </c>
      <c r="P72" s="23" t="s">
        <v>85</v>
      </c>
      <c r="Q72" s="23" t="s">
        <v>85</v>
      </c>
      <c r="R72" s="23" t="s">
        <v>85</v>
      </c>
      <c r="S72" s="23" t="s">
        <v>85</v>
      </c>
      <c r="T72" s="8">
        <v>0</v>
      </c>
      <c r="U72" s="12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130</v>
      </c>
      <c r="D73" s="15" t="s">
        <v>81</v>
      </c>
      <c r="E73" s="15" t="s">
        <v>82</v>
      </c>
      <c r="F73" s="15">
        <v>1.068</v>
      </c>
      <c r="G73" s="15">
        <v>1.068</v>
      </c>
      <c r="H73" s="15" t="s">
        <v>83</v>
      </c>
      <c r="I73" s="15" t="s">
        <v>71</v>
      </c>
      <c r="J73" s="15" t="s">
        <v>282</v>
      </c>
      <c r="K73" s="16">
        <f>F73*1.06</f>
      </c>
      <c r="L73" s="17">
        <v>435.3338</v>
      </c>
      <c r="M73" s="18">
        <v>231</v>
      </c>
      <c r="N73" s="18">
        <v>377</v>
      </c>
      <c r="O73" s="19">
        <f>IFERROR((N73-M73)*K73,0)</f>
      </c>
      <c r="P73" s="24" t="s">
        <v>85</v>
      </c>
      <c r="Q73" s="24" t="s">
        <v>85</v>
      </c>
      <c r="R73" s="24" t="s">
        <v>85</v>
      </c>
      <c r="S73" s="24" t="s">
        <v>85</v>
      </c>
      <c r="T73" s="16">
        <v>0</v>
      </c>
      <c r="U73" s="20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130</v>
      </c>
      <c r="D74" s="7" t="s">
        <v>283</v>
      </c>
      <c r="E74" s="7" t="s">
        <v>228</v>
      </c>
      <c r="F74" s="7">
        <v>0.3095</v>
      </c>
      <c r="G74" s="7">
        <v>0.29</v>
      </c>
      <c r="H74" s="7" t="s">
        <v>83</v>
      </c>
      <c r="I74" s="7" t="s">
        <v>38</v>
      </c>
      <c r="J74" s="7" t="s">
        <v>284</v>
      </c>
      <c r="K74" s="8">
        <f>F74*1.06</f>
      </c>
      <c r="L74" s="9">
        <v>180.624</v>
      </c>
      <c r="M74" s="10">
        <v>239</v>
      </c>
      <c r="N74" s="10">
        <v>369</v>
      </c>
      <c r="O74" s="11">
        <f>IFERROR((N74-M74)*K74,0)</f>
      </c>
      <c r="P74" s="10">
        <v>154</v>
      </c>
      <c r="Q74" s="10">
        <v>239</v>
      </c>
      <c r="R74" s="10">
        <v>369</v>
      </c>
      <c r="S74" s="8">
        <f>IFERROR((P74/Q74)*R74,0)</f>
      </c>
      <c r="T74" s="8">
        <f>IFERROR((S74-P74)*((F74-G74)*0.8),0)</f>
      </c>
      <c r="U74" s="12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130</v>
      </c>
      <c r="D75" s="15" t="s">
        <v>285</v>
      </c>
      <c r="E75" s="15" t="s">
        <v>286</v>
      </c>
      <c r="F75" s="15">
        <v>0.3095</v>
      </c>
      <c r="G75" s="15">
        <v>0.29</v>
      </c>
      <c r="H75" s="15" t="s">
        <v>83</v>
      </c>
      <c r="I75" s="15" t="s">
        <v>38</v>
      </c>
      <c r="J75" s="15" t="s">
        <v>287</v>
      </c>
      <c r="K75" s="16">
        <f>F75*1.06</f>
      </c>
      <c r="L75" s="17">
        <v>173.674</v>
      </c>
      <c r="M75" s="18">
        <v>239</v>
      </c>
      <c r="N75" s="18">
        <v>369</v>
      </c>
      <c r="O75" s="19">
        <f>IFERROR((N75-M75)*K75,0)</f>
      </c>
      <c r="P75" s="18">
        <v>154</v>
      </c>
      <c r="Q75" s="18">
        <v>239</v>
      </c>
      <c r="R75" s="18">
        <v>369</v>
      </c>
      <c r="S75" s="16">
        <f>IFERROR((P75/Q75)*R75,0)</f>
      </c>
      <c r="T75" s="16">
        <f>IFERROR((S75-P75)*((F75-G75)*0.8),0)</f>
      </c>
      <c r="U75" s="20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130</v>
      </c>
      <c r="D76" s="7" t="s">
        <v>35</v>
      </c>
      <c r="E76" s="7" t="s">
        <v>82</v>
      </c>
      <c r="F76" s="7">
        <v>0.358</v>
      </c>
      <c r="G76" s="7">
        <v>0.327</v>
      </c>
      <c r="H76" s="7" t="s">
        <v>83</v>
      </c>
      <c r="I76" s="7" t="s">
        <v>38</v>
      </c>
      <c r="J76" s="7" t="s">
        <v>288</v>
      </c>
      <c r="K76" s="8">
        <f>F76*1.06</f>
      </c>
      <c r="L76" s="9">
        <v>223.9541</v>
      </c>
      <c r="M76" s="10">
        <v>239</v>
      </c>
      <c r="N76" s="10">
        <v>369</v>
      </c>
      <c r="O76" s="11">
        <f>IFERROR((N76-M76)*K76,0)</f>
      </c>
      <c r="P76" s="10">
        <v>154</v>
      </c>
      <c r="Q76" s="10">
        <v>239</v>
      </c>
      <c r="R76" s="10">
        <v>369</v>
      </c>
      <c r="S76" s="8">
        <f>IFERROR((P76/Q76)*R76,0)</f>
      </c>
      <c r="T76" s="8">
        <f>IFERROR((S76-P76)*((F76-G76)*0.8),0)</f>
      </c>
      <c r="U76" s="12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130</v>
      </c>
      <c r="D77" s="15" t="s">
        <v>131</v>
      </c>
      <c r="E77" s="15" t="s">
        <v>41</v>
      </c>
      <c r="F77" s="15">
        <v>1.22</v>
      </c>
      <c r="G77" s="15">
        <v>1.182</v>
      </c>
      <c r="H77" s="15" t="s">
        <v>83</v>
      </c>
      <c r="I77" s="15" t="s">
        <v>38</v>
      </c>
      <c r="J77" s="15" t="s">
        <v>289</v>
      </c>
      <c r="K77" s="16">
        <f>F77*1.06</f>
      </c>
      <c r="L77" s="17">
        <v>499.6236</v>
      </c>
      <c r="M77" s="18">
        <v>239</v>
      </c>
      <c r="N77" s="18">
        <v>369</v>
      </c>
      <c r="O77" s="19">
        <f>IFERROR((N77-M77)*K77,0)</f>
      </c>
      <c r="P77" s="18">
        <v>154</v>
      </c>
      <c r="Q77" s="18">
        <v>239</v>
      </c>
      <c r="R77" s="18">
        <v>369</v>
      </c>
      <c r="S77" s="16">
        <f>IFERROR((P77/Q77)*R77,0)</f>
      </c>
      <c r="T77" s="16">
        <f>IFERROR((S77-P77)*((F77-G77)*0.8),0)</f>
      </c>
      <c r="U77" s="20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130</v>
      </c>
      <c r="D78" s="7" t="s">
        <v>290</v>
      </c>
      <c r="E78" s="7" t="s">
        <v>291</v>
      </c>
      <c r="F78" s="7">
        <v>0.668</v>
      </c>
      <c r="G78" s="7">
        <v>0.603</v>
      </c>
      <c r="H78" s="7" t="s">
        <v>83</v>
      </c>
      <c r="I78" s="7" t="s">
        <v>71</v>
      </c>
      <c r="J78" s="7" t="s">
        <v>292</v>
      </c>
      <c r="K78" s="8">
        <f>F78*1.06</f>
      </c>
      <c r="L78" s="9">
        <v>316.8802</v>
      </c>
      <c r="M78" s="10">
        <v>231</v>
      </c>
      <c r="N78" s="10">
        <v>377</v>
      </c>
      <c r="O78" s="11">
        <f>IFERROR((N78-M78)*K78,0)</f>
      </c>
      <c r="P78" s="10">
        <v>154</v>
      </c>
      <c r="Q78" s="10">
        <v>239</v>
      </c>
      <c r="R78" s="10">
        <v>369</v>
      </c>
      <c r="S78" s="8">
        <f>IFERROR((P78/Q78)*R78,0)</f>
      </c>
      <c r="T78" s="8">
        <f>IFERROR((S78-P78)*((F78-G78)*0.8),0)</f>
      </c>
      <c r="U78" s="12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130</v>
      </c>
      <c r="D79" s="15" t="s">
        <v>293</v>
      </c>
      <c r="E79" s="15" t="s">
        <v>294</v>
      </c>
      <c r="F79" s="15">
        <v>0.668</v>
      </c>
      <c r="G79" s="15">
        <v>0.603</v>
      </c>
      <c r="H79" s="15" t="s">
        <v>83</v>
      </c>
      <c r="I79" s="15" t="s">
        <v>71</v>
      </c>
      <c r="J79" s="15" t="s">
        <v>295</v>
      </c>
      <c r="K79" s="16">
        <f>F79*1.06</f>
      </c>
      <c r="L79" s="17">
        <v>316.8802</v>
      </c>
      <c r="M79" s="18">
        <v>231</v>
      </c>
      <c r="N79" s="18">
        <v>377</v>
      </c>
      <c r="O79" s="19">
        <f>IFERROR((N79-M79)*K79,0)</f>
      </c>
      <c r="P79" s="18">
        <v>154</v>
      </c>
      <c r="Q79" s="18">
        <v>239</v>
      </c>
      <c r="R79" s="18">
        <v>369</v>
      </c>
      <c r="S79" s="16">
        <f>IFERROR((P79/Q79)*R79,0)</f>
      </c>
      <c r="T79" s="16">
        <f>IFERROR((S79-P79)*((F79-G79)*0.8),0)</f>
      </c>
      <c r="U79" s="20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130</v>
      </c>
      <c r="D80" s="7" t="s">
        <v>296</v>
      </c>
      <c r="E80" s="7" t="s">
        <v>82</v>
      </c>
      <c r="F80" s="7">
        <v>0.942</v>
      </c>
      <c r="G80" s="7">
        <v>0.942</v>
      </c>
      <c r="H80" s="7" t="s">
        <v>83</v>
      </c>
      <c r="I80" s="7" t="s">
        <v>71</v>
      </c>
      <c r="J80" s="7" t="s">
        <v>297</v>
      </c>
      <c r="K80" s="8">
        <f>F80*1.06</f>
      </c>
      <c r="L80" s="9">
        <v>384.8483</v>
      </c>
      <c r="M80" s="10">
        <v>231</v>
      </c>
      <c r="N80" s="10">
        <v>377</v>
      </c>
      <c r="O80" s="11">
        <f>IFERROR((N80-M80)*K80,0)</f>
      </c>
      <c r="P80" s="23" t="s">
        <v>85</v>
      </c>
      <c r="Q80" s="23" t="s">
        <v>85</v>
      </c>
      <c r="R80" s="23" t="s">
        <v>85</v>
      </c>
      <c r="S80" s="23" t="s">
        <v>85</v>
      </c>
      <c r="T80" s="8">
        <v>0</v>
      </c>
      <c r="U80" s="12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130</v>
      </c>
      <c r="D81" s="15" t="s">
        <v>298</v>
      </c>
      <c r="E81" s="15" t="s">
        <v>299</v>
      </c>
      <c r="F81" s="15">
        <v>1.401</v>
      </c>
      <c r="G81" s="15">
        <v>1.366</v>
      </c>
      <c r="H81" s="15" t="s">
        <v>83</v>
      </c>
      <c r="I81" s="15" t="s">
        <v>71</v>
      </c>
      <c r="J81" s="15" t="s">
        <v>300</v>
      </c>
      <c r="K81" s="16">
        <f>F81*1.06</f>
      </c>
      <c r="L81" s="17">
        <v>753.9664</v>
      </c>
      <c r="M81" s="18">
        <v>231</v>
      </c>
      <c r="N81" s="18">
        <v>377</v>
      </c>
      <c r="O81" s="19">
        <f>IFERROR((N81-M81)*K81,0)</f>
      </c>
      <c r="P81" s="18">
        <v>154</v>
      </c>
      <c r="Q81" s="18">
        <v>239</v>
      </c>
      <c r="R81" s="18">
        <v>369</v>
      </c>
      <c r="S81" s="16">
        <f>IFERROR((P81/Q81)*R81,0)</f>
      </c>
      <c r="T81" s="16">
        <f>IFERROR((S81-P81)*((F81-G81)*0.8),0)</f>
      </c>
      <c r="U81" s="20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130</v>
      </c>
      <c r="D82" s="7" t="s">
        <v>277</v>
      </c>
      <c r="E82" s="7" t="s">
        <v>212</v>
      </c>
      <c r="F82" s="7">
        <v>0.617</v>
      </c>
      <c r="G82" s="7">
        <v>0.617</v>
      </c>
      <c r="H82" s="7" t="s">
        <v>301</v>
      </c>
      <c r="I82" s="7" t="s">
        <v>38</v>
      </c>
      <c r="J82" s="7" t="s">
        <v>302</v>
      </c>
      <c r="K82" s="8">
        <f>F82*1.06</f>
      </c>
      <c r="L82" s="9">
        <v>268.473</v>
      </c>
      <c r="M82" s="10">
        <v>239</v>
      </c>
      <c r="N82" s="10">
        <v>369</v>
      </c>
      <c r="O82" s="11">
        <f>IFERROR((N82-M82)*K82,0)</f>
      </c>
      <c r="P82" s="23" t="s">
        <v>85</v>
      </c>
      <c r="Q82" s="23" t="s">
        <v>85</v>
      </c>
      <c r="R82" s="23" t="s">
        <v>85</v>
      </c>
      <c r="S82" s="23" t="s">
        <v>85</v>
      </c>
      <c r="T82" s="8">
        <v>0</v>
      </c>
      <c r="U82" s="12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130</v>
      </c>
      <c r="D83" s="15" t="s">
        <v>215</v>
      </c>
      <c r="E83" s="15" t="s">
        <v>216</v>
      </c>
      <c r="F83" s="15">
        <v>0.268</v>
      </c>
      <c r="G83" s="15">
        <v>0.268</v>
      </c>
      <c r="H83" s="15" t="s">
        <v>301</v>
      </c>
      <c r="I83" s="15" t="s">
        <v>38</v>
      </c>
      <c r="J83" s="15" t="s">
        <v>303</v>
      </c>
      <c r="K83" s="16">
        <f>F83*1.06</f>
      </c>
      <c r="L83" s="17">
        <v>134.6776</v>
      </c>
      <c r="M83" s="18">
        <v>239</v>
      </c>
      <c r="N83" s="18">
        <v>369</v>
      </c>
      <c r="O83" s="19">
        <f>IFERROR((N83-M83)*K83,0)</f>
      </c>
      <c r="P83" s="24" t="s">
        <v>85</v>
      </c>
      <c r="Q83" s="24" t="s">
        <v>85</v>
      </c>
      <c r="R83" s="24" t="s">
        <v>85</v>
      </c>
      <c r="S83" s="24" t="s">
        <v>85</v>
      </c>
      <c r="T83" s="16">
        <v>0</v>
      </c>
      <c r="U83" s="20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130</v>
      </c>
      <c r="D84" s="7" t="s">
        <v>304</v>
      </c>
      <c r="E84" s="7" t="s">
        <v>305</v>
      </c>
      <c r="F84" s="7">
        <v>0.317</v>
      </c>
      <c r="G84" s="7">
        <v>0.272</v>
      </c>
      <c r="H84" s="7" t="s">
        <v>83</v>
      </c>
      <c r="I84" s="7" t="s">
        <v>38</v>
      </c>
      <c r="J84" s="7" t="s">
        <v>306</v>
      </c>
      <c r="K84" s="8">
        <f>F84*1.06</f>
      </c>
      <c r="L84" s="9">
        <v>163.6811</v>
      </c>
      <c r="M84" s="10">
        <v>239</v>
      </c>
      <c r="N84" s="10">
        <v>369</v>
      </c>
      <c r="O84" s="11">
        <f>IFERROR((N84-M84)*K84,0)</f>
      </c>
      <c r="P84" s="10">
        <v>154</v>
      </c>
      <c r="Q84" s="10">
        <v>239</v>
      </c>
      <c r="R84" s="10">
        <v>369</v>
      </c>
      <c r="S84" s="8">
        <f>IFERROR((P84/Q84)*R84,0)</f>
      </c>
      <c r="T84" s="8">
        <f>IFERROR((S84-P84)*((F84-G84)*0.8),0)</f>
      </c>
      <c r="U84" s="12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130</v>
      </c>
      <c r="D85" s="15" t="s">
        <v>307</v>
      </c>
      <c r="E85" s="15" t="s">
        <v>82</v>
      </c>
      <c r="F85" s="15">
        <v>0.317</v>
      </c>
      <c r="G85" s="15">
        <v>0.279</v>
      </c>
      <c r="H85" s="15" t="s">
        <v>83</v>
      </c>
      <c r="I85" s="15" t="s">
        <v>38</v>
      </c>
      <c r="J85" s="15" t="s">
        <v>308</v>
      </c>
      <c r="K85" s="16">
        <f>F85*1.06</f>
      </c>
      <c r="L85" s="17">
        <v>169.0895</v>
      </c>
      <c r="M85" s="18">
        <v>239</v>
      </c>
      <c r="N85" s="18">
        <v>369</v>
      </c>
      <c r="O85" s="19">
        <f>IFERROR((N85-M85)*K85,0)</f>
      </c>
      <c r="P85" s="18">
        <v>154</v>
      </c>
      <c r="Q85" s="18">
        <v>239</v>
      </c>
      <c r="R85" s="18">
        <v>369</v>
      </c>
      <c r="S85" s="16">
        <f>IFERROR((P85/Q85)*R85,0)</f>
      </c>
      <c r="T85" s="16">
        <f>IFERROR((S85-P85)*((F85-G85)*0.8),0)</f>
      </c>
      <c r="U85" s="20">
        <f>ROUND(L85+O85-T85,2)</f>
      </c>
      <c r="V85" s="21">
        <v>0</v>
      </c>
      <c r="W85" s="22">
        <f>(U85-L85)*V85/100000</f>
      </c>
    </row>
    <row r="86" spans="1:23" x14ac:dyDescent="0.25">
      <c r="A86" s="25" t="s">
        <v>122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6">
        <f>SUM(V4:V85)</f>
      </c>
      <c r="W86" s="27">
        <f>SUM(W4:W85)</f>
      </c>
    </row>
  </sheetData>
  <autoFilter ref="A3:W85"/>
  <mergeCells count="3">
    <mergeCell ref="A1:W1"/>
    <mergeCell ref="A2:D2"/>
    <mergeCell ref="A86:U8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86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309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W86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130</v>
      </c>
      <c r="D4" s="7" t="s">
        <v>131</v>
      </c>
      <c r="E4" s="7" t="s">
        <v>41</v>
      </c>
      <c r="F4" s="7">
        <v>1.22</v>
      </c>
      <c r="G4" s="7">
        <v>1.182</v>
      </c>
      <c r="H4" s="7" t="s">
        <v>37</v>
      </c>
      <c r="I4" s="7" t="s">
        <v>38</v>
      </c>
      <c r="J4" s="7" t="s">
        <v>132</v>
      </c>
      <c r="K4" s="8">
        <f>F4*1.06</f>
      </c>
      <c r="L4" s="9">
        <v>680.48</v>
      </c>
      <c r="M4" s="28">
        <v>369</v>
      </c>
      <c r="N4" s="28"/>
      <c r="O4" s="29">
        <f>IFERROR((N4-M4)*K4,0)</f>
      </c>
      <c r="P4" s="28">
        <v>237.76569037656904</v>
      </c>
      <c r="Q4" s="28">
        <v>369</v>
      </c>
      <c r="R4" s="28"/>
      <c r="S4" s="30">
        <f>IFERROR((P4/Q4)*R4,0)</f>
      </c>
      <c r="T4" s="30">
        <f>IFERROR((S4-P4)*((F4-G4)*0.8),0)</f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130</v>
      </c>
      <c r="D5" s="15" t="s">
        <v>133</v>
      </c>
      <c r="E5" s="15" t="s">
        <v>134</v>
      </c>
      <c r="F5" s="15">
        <v>0.773</v>
      </c>
      <c r="G5" s="15">
        <v>0.746</v>
      </c>
      <c r="H5" s="15" t="s">
        <v>54</v>
      </c>
      <c r="I5" s="15" t="s">
        <v>38</v>
      </c>
      <c r="J5" s="15" t="s">
        <v>135</v>
      </c>
      <c r="K5" s="16">
        <f>F5*1.06</f>
      </c>
      <c r="L5" s="17">
        <v>476.17</v>
      </c>
      <c r="M5" s="32">
        <v>369</v>
      </c>
      <c r="N5" s="32"/>
      <c r="O5" s="33">
        <f>IFERROR((N5-M5)*K5,0)</f>
      </c>
      <c r="P5" s="32">
        <v>237.76569037656904</v>
      </c>
      <c r="Q5" s="32">
        <v>369</v>
      </c>
      <c r="R5" s="32"/>
      <c r="S5" s="34">
        <f>IFERROR((P5/Q5)*R5,0)</f>
      </c>
      <c r="T5" s="34">
        <f>IFERROR((S5-P5)*((F5-G5)*0.8),0)</f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130</v>
      </c>
      <c r="D6" s="7" t="s">
        <v>136</v>
      </c>
      <c r="E6" s="7" t="s">
        <v>137</v>
      </c>
      <c r="F6" s="7">
        <v>0.254</v>
      </c>
      <c r="G6" s="7">
        <v>0.254</v>
      </c>
      <c r="H6" s="7" t="s">
        <v>54</v>
      </c>
      <c r="I6" s="7" t="s">
        <v>38</v>
      </c>
      <c r="J6" s="7" t="s">
        <v>138</v>
      </c>
      <c r="K6" s="8">
        <f>F6*1.06</f>
      </c>
      <c r="L6" s="9">
        <v>140.96</v>
      </c>
      <c r="M6" s="28">
        <v>369</v>
      </c>
      <c r="N6" s="28"/>
      <c r="O6" s="29">
        <f>IFERROR((N6-M6)*K6,0)</f>
      </c>
      <c r="P6" s="36" t="s">
        <v>85</v>
      </c>
      <c r="Q6" s="36" t="s">
        <v>85</v>
      </c>
      <c r="R6" s="36" t="s">
        <v>85</v>
      </c>
      <c r="S6" s="36" t="s">
        <v>85</v>
      </c>
      <c r="T6" s="30">
        <v>0</v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130</v>
      </c>
      <c r="D7" s="15" t="s">
        <v>139</v>
      </c>
      <c r="E7" s="15" t="s">
        <v>140</v>
      </c>
      <c r="F7" s="15">
        <v>0.974</v>
      </c>
      <c r="G7" s="15">
        <v>0.964</v>
      </c>
      <c r="H7" s="15" t="s">
        <v>54</v>
      </c>
      <c r="I7" s="15" t="s">
        <v>141</v>
      </c>
      <c r="J7" s="15" t="s">
        <v>142</v>
      </c>
      <c r="K7" s="16">
        <f>F7*1.06</f>
      </c>
      <c r="L7" s="17">
        <v>607.37</v>
      </c>
      <c r="M7" s="32">
        <v>379</v>
      </c>
      <c r="N7" s="32"/>
      <c r="O7" s="33">
        <f>IFERROR((N7-M7)*K7,0)</f>
      </c>
      <c r="P7" s="32">
        <v>237.76569037656904</v>
      </c>
      <c r="Q7" s="32">
        <v>369</v>
      </c>
      <c r="R7" s="32"/>
      <c r="S7" s="34">
        <f>IFERROR((P7/Q7)*R7,0)</f>
      </c>
      <c r="T7" s="34">
        <f>IFERROR((S7-P7)*((F7-G7)*0.8),0)</f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130</v>
      </c>
      <c r="D8" s="7" t="s">
        <v>143</v>
      </c>
      <c r="E8" s="7" t="s">
        <v>44</v>
      </c>
      <c r="F8" s="7">
        <v>2.41</v>
      </c>
      <c r="G8" s="7">
        <v>2.41</v>
      </c>
      <c r="H8" s="7" t="s">
        <v>45</v>
      </c>
      <c r="I8" s="7" t="s">
        <v>46</v>
      </c>
      <c r="J8" s="7" t="s">
        <v>144</v>
      </c>
      <c r="K8" s="8">
        <f>F8*1.06</f>
      </c>
      <c r="L8" s="9">
        <v>1291.03</v>
      </c>
      <c r="M8" s="28">
        <v>381</v>
      </c>
      <c r="N8" s="28"/>
      <c r="O8" s="29">
        <f>IFERROR((N8-M8)*K8,0)</f>
      </c>
      <c r="P8" s="36" t="s">
        <v>85</v>
      </c>
      <c r="Q8" s="36" t="s">
        <v>85</v>
      </c>
      <c r="R8" s="36" t="s">
        <v>85</v>
      </c>
      <c r="S8" s="36" t="s">
        <v>85</v>
      </c>
      <c r="T8" s="30">
        <v>0</v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130</v>
      </c>
      <c r="D9" s="15" t="s">
        <v>145</v>
      </c>
      <c r="E9" s="15" t="s">
        <v>49</v>
      </c>
      <c r="F9" s="15">
        <v>2.63</v>
      </c>
      <c r="G9" s="15">
        <v>2.63</v>
      </c>
      <c r="H9" s="15" t="s">
        <v>45</v>
      </c>
      <c r="I9" s="15" t="s">
        <v>46</v>
      </c>
      <c r="J9" s="15" t="s">
        <v>146</v>
      </c>
      <c r="K9" s="16">
        <f>F9*1.06</f>
      </c>
      <c r="L9" s="17">
        <v>1396.21</v>
      </c>
      <c r="M9" s="32">
        <v>381</v>
      </c>
      <c r="N9" s="32"/>
      <c r="O9" s="33">
        <f>IFERROR((N9-M9)*K9,0)</f>
      </c>
      <c r="P9" s="37" t="s">
        <v>85</v>
      </c>
      <c r="Q9" s="37" t="s">
        <v>85</v>
      </c>
      <c r="R9" s="37" t="s">
        <v>85</v>
      </c>
      <c r="S9" s="37" t="s">
        <v>85</v>
      </c>
      <c r="T9" s="34">
        <v>0</v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130</v>
      </c>
      <c r="D10" s="7" t="s">
        <v>147</v>
      </c>
      <c r="E10" s="7" t="s">
        <v>44</v>
      </c>
      <c r="F10" s="7">
        <v>2.543</v>
      </c>
      <c r="G10" s="7">
        <v>2.543</v>
      </c>
      <c r="H10" s="7" t="s">
        <v>45</v>
      </c>
      <c r="I10" s="7" t="s">
        <v>46</v>
      </c>
      <c r="J10" s="7" t="s">
        <v>148</v>
      </c>
      <c r="K10" s="8">
        <f>F10*1.06</f>
      </c>
      <c r="L10" s="9">
        <v>1505.62</v>
      </c>
      <c r="M10" s="28">
        <v>381</v>
      </c>
      <c r="N10" s="28"/>
      <c r="O10" s="29">
        <f>IFERROR((N10-M10)*K10,0)</f>
      </c>
      <c r="P10" s="36" t="s">
        <v>85</v>
      </c>
      <c r="Q10" s="36" t="s">
        <v>85</v>
      </c>
      <c r="R10" s="36" t="s">
        <v>85</v>
      </c>
      <c r="S10" s="36" t="s">
        <v>85</v>
      </c>
      <c r="T10" s="30">
        <v>0</v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130</v>
      </c>
      <c r="D11" s="15" t="s">
        <v>149</v>
      </c>
      <c r="E11" s="15" t="s">
        <v>49</v>
      </c>
      <c r="F11" s="15">
        <v>2.747</v>
      </c>
      <c r="G11" s="15">
        <v>2.747</v>
      </c>
      <c r="H11" s="15" t="s">
        <v>45</v>
      </c>
      <c r="I11" s="15" t="s">
        <v>46</v>
      </c>
      <c r="J11" s="15" t="s">
        <v>150</v>
      </c>
      <c r="K11" s="16">
        <f>F11*1.06</f>
      </c>
      <c r="L11" s="17">
        <v>1608.32</v>
      </c>
      <c r="M11" s="32">
        <v>381</v>
      </c>
      <c r="N11" s="32"/>
      <c r="O11" s="33">
        <f>IFERROR((N11-M11)*K11,0)</f>
      </c>
      <c r="P11" s="37" t="s">
        <v>85</v>
      </c>
      <c r="Q11" s="37" t="s">
        <v>85</v>
      </c>
      <c r="R11" s="37" t="s">
        <v>85</v>
      </c>
      <c r="S11" s="37" t="s">
        <v>85</v>
      </c>
      <c r="T11" s="34">
        <v>0</v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130</v>
      </c>
      <c r="D12" s="7" t="s">
        <v>131</v>
      </c>
      <c r="E12" s="7" t="s">
        <v>41</v>
      </c>
      <c r="F12" s="7">
        <v>1.22</v>
      </c>
      <c r="G12" s="7">
        <v>1.182</v>
      </c>
      <c r="H12" s="7" t="s">
        <v>60</v>
      </c>
      <c r="I12" s="7" t="s">
        <v>38</v>
      </c>
      <c r="J12" s="7" t="s">
        <v>151</v>
      </c>
      <c r="K12" s="8">
        <f>F12*1.06</f>
      </c>
      <c r="L12" s="9">
        <v>680.49</v>
      </c>
      <c r="M12" s="28">
        <v>369</v>
      </c>
      <c r="N12" s="28"/>
      <c r="O12" s="29">
        <f>IFERROR((N12-M12)*K12,0)</f>
      </c>
      <c r="P12" s="28">
        <v>237.76569037656904</v>
      </c>
      <c r="Q12" s="28">
        <v>369</v>
      </c>
      <c r="R12" s="28"/>
      <c r="S12" s="30">
        <f>IFERROR((P12/Q12)*R12,0)</f>
      </c>
      <c r="T12" s="30">
        <f>IFERROR((S12-P12)*((F12-G12)*0.8),0)</f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130</v>
      </c>
      <c r="D13" s="15" t="s">
        <v>152</v>
      </c>
      <c r="E13" s="15" t="s">
        <v>153</v>
      </c>
      <c r="F13" s="15">
        <v>0.044</v>
      </c>
      <c r="G13" s="15">
        <v>0.044</v>
      </c>
      <c r="H13" s="15" t="s">
        <v>154</v>
      </c>
      <c r="I13" s="15" t="s">
        <v>71</v>
      </c>
      <c r="J13" s="15" t="s">
        <v>155</v>
      </c>
      <c r="K13" s="16">
        <f>F13*1.06</f>
      </c>
      <c r="L13" s="17">
        <v>87.39</v>
      </c>
      <c r="M13" s="32">
        <v>377</v>
      </c>
      <c r="N13" s="32"/>
      <c r="O13" s="33">
        <f>IFERROR((N13-M13)*K13,0)</f>
      </c>
      <c r="P13" s="37" t="s">
        <v>85</v>
      </c>
      <c r="Q13" s="37" t="s">
        <v>85</v>
      </c>
      <c r="R13" s="37" t="s">
        <v>85</v>
      </c>
      <c r="S13" s="37" t="s">
        <v>85</v>
      </c>
      <c r="T13" s="34">
        <v>0</v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130</v>
      </c>
      <c r="D14" s="7" t="s">
        <v>156</v>
      </c>
      <c r="E14" s="7" t="s">
        <v>157</v>
      </c>
      <c r="F14" s="7">
        <v>0.044</v>
      </c>
      <c r="G14" s="7">
        <v>0.044</v>
      </c>
      <c r="H14" s="7" t="s">
        <v>154</v>
      </c>
      <c r="I14" s="7" t="s">
        <v>71</v>
      </c>
      <c r="J14" s="7" t="s">
        <v>158</v>
      </c>
      <c r="K14" s="8">
        <f>F14*1.06</f>
      </c>
      <c r="L14" s="9">
        <v>51.15</v>
      </c>
      <c r="M14" s="28">
        <v>377</v>
      </c>
      <c r="N14" s="28"/>
      <c r="O14" s="29">
        <f>IFERROR((N14-M14)*K14,0)</f>
      </c>
      <c r="P14" s="36" t="s">
        <v>85</v>
      </c>
      <c r="Q14" s="36" t="s">
        <v>85</v>
      </c>
      <c r="R14" s="36" t="s">
        <v>85</v>
      </c>
      <c r="S14" s="36" t="s">
        <v>85</v>
      </c>
      <c r="T14" s="30">
        <v>0</v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130</v>
      </c>
      <c r="D15" s="15" t="s">
        <v>159</v>
      </c>
      <c r="E15" s="15" t="s">
        <v>82</v>
      </c>
      <c r="F15" s="15">
        <v>0.31</v>
      </c>
      <c r="G15" s="15">
        <v>0.31</v>
      </c>
      <c r="H15" s="15" t="s">
        <v>154</v>
      </c>
      <c r="I15" s="15" t="s">
        <v>71</v>
      </c>
      <c r="J15" s="15" t="s">
        <v>160</v>
      </c>
      <c r="K15" s="16">
        <f>F15*1.06</f>
      </c>
      <c r="L15" s="17">
        <v>189.33</v>
      </c>
      <c r="M15" s="32">
        <v>377</v>
      </c>
      <c r="N15" s="32"/>
      <c r="O15" s="33">
        <f>IFERROR((N15-M15)*K15,0)</f>
      </c>
      <c r="P15" s="37" t="s">
        <v>85</v>
      </c>
      <c r="Q15" s="37" t="s">
        <v>85</v>
      </c>
      <c r="R15" s="37" t="s">
        <v>85</v>
      </c>
      <c r="S15" s="37" t="s">
        <v>85</v>
      </c>
      <c r="T15" s="34">
        <v>0</v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130</v>
      </c>
      <c r="D16" s="7" t="s">
        <v>161</v>
      </c>
      <c r="E16" s="7" t="s">
        <v>44</v>
      </c>
      <c r="F16" s="7">
        <v>1.385</v>
      </c>
      <c r="G16" s="7">
        <v>1.385</v>
      </c>
      <c r="H16" s="7" t="s">
        <v>154</v>
      </c>
      <c r="I16" s="7" t="s">
        <v>46</v>
      </c>
      <c r="J16" s="7" t="s">
        <v>162</v>
      </c>
      <c r="K16" s="8">
        <f>F16*1.06</f>
      </c>
      <c r="L16" s="9">
        <v>796.22</v>
      </c>
      <c r="M16" s="28">
        <v>381</v>
      </c>
      <c r="N16" s="28"/>
      <c r="O16" s="29">
        <f>IFERROR((N16-M16)*K16,0)</f>
      </c>
      <c r="P16" s="36" t="s">
        <v>85</v>
      </c>
      <c r="Q16" s="36" t="s">
        <v>85</v>
      </c>
      <c r="R16" s="36" t="s">
        <v>85</v>
      </c>
      <c r="S16" s="36" t="s">
        <v>85</v>
      </c>
      <c r="T16" s="30">
        <v>0</v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130</v>
      </c>
      <c r="D17" s="15" t="s">
        <v>163</v>
      </c>
      <c r="E17" s="15" t="s">
        <v>82</v>
      </c>
      <c r="F17" s="15">
        <v>0.297</v>
      </c>
      <c r="G17" s="15">
        <v>0.297</v>
      </c>
      <c r="H17" s="15" t="s">
        <v>154</v>
      </c>
      <c r="I17" s="15" t="s">
        <v>38</v>
      </c>
      <c r="J17" s="15" t="s">
        <v>164</v>
      </c>
      <c r="K17" s="16">
        <f>F17*1.06</f>
      </c>
      <c r="L17" s="17">
        <v>169.94</v>
      </c>
      <c r="M17" s="32">
        <v>369</v>
      </c>
      <c r="N17" s="32"/>
      <c r="O17" s="33">
        <f>IFERROR((N17-M17)*K17,0)</f>
      </c>
      <c r="P17" s="37" t="s">
        <v>85</v>
      </c>
      <c r="Q17" s="37" t="s">
        <v>85</v>
      </c>
      <c r="R17" s="37" t="s">
        <v>85</v>
      </c>
      <c r="S17" s="37" t="s">
        <v>85</v>
      </c>
      <c r="T17" s="34">
        <v>0</v>
      </c>
      <c r="U17" s="35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130</v>
      </c>
      <c r="D18" s="7" t="s">
        <v>165</v>
      </c>
      <c r="E18" s="7" t="s">
        <v>49</v>
      </c>
      <c r="F18" s="7">
        <v>1.4</v>
      </c>
      <c r="G18" s="7">
        <v>1.4</v>
      </c>
      <c r="H18" s="7" t="s">
        <v>154</v>
      </c>
      <c r="I18" s="7" t="s">
        <v>46</v>
      </c>
      <c r="J18" s="7" t="s">
        <v>166</v>
      </c>
      <c r="K18" s="8">
        <f>F18*1.06</f>
      </c>
      <c r="L18" s="9">
        <v>772.23</v>
      </c>
      <c r="M18" s="28">
        <v>381</v>
      </c>
      <c r="N18" s="28"/>
      <c r="O18" s="29">
        <f>IFERROR((N18-M18)*K18,0)</f>
      </c>
      <c r="P18" s="36" t="s">
        <v>85</v>
      </c>
      <c r="Q18" s="36" t="s">
        <v>85</v>
      </c>
      <c r="R18" s="36" t="s">
        <v>85</v>
      </c>
      <c r="S18" s="36" t="s">
        <v>85</v>
      </c>
      <c r="T18" s="30">
        <v>0</v>
      </c>
      <c r="U18" s="31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130</v>
      </c>
      <c r="D19" s="15" t="s">
        <v>167</v>
      </c>
      <c r="E19" s="15" t="s">
        <v>82</v>
      </c>
      <c r="F19" s="15">
        <v>0.317</v>
      </c>
      <c r="G19" s="15">
        <v>0.279</v>
      </c>
      <c r="H19" s="15" t="s">
        <v>83</v>
      </c>
      <c r="I19" s="15" t="s">
        <v>38</v>
      </c>
      <c r="J19" s="15" t="s">
        <v>168</v>
      </c>
      <c r="K19" s="16">
        <f>F19*1.06</f>
      </c>
      <c r="L19" s="17">
        <v>212.7</v>
      </c>
      <c r="M19" s="32">
        <v>369</v>
      </c>
      <c r="N19" s="32"/>
      <c r="O19" s="33">
        <f>IFERROR((N19-M19)*K19,0)</f>
      </c>
      <c r="P19" s="32">
        <v>237.76569037656904</v>
      </c>
      <c r="Q19" s="32">
        <v>369</v>
      </c>
      <c r="R19" s="32"/>
      <c r="S19" s="34">
        <f>IFERROR((P19/Q19)*R19,0)</f>
      </c>
      <c r="T19" s="34">
        <f>IFERROR((S19-P19)*((F19-G19)*0.8),0)</f>
      </c>
      <c r="U19" s="35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130</v>
      </c>
      <c r="D20" s="7" t="s">
        <v>169</v>
      </c>
      <c r="E20" s="7" t="s">
        <v>170</v>
      </c>
      <c r="F20" s="7">
        <v>0.035</v>
      </c>
      <c r="G20" s="7">
        <v>0.035</v>
      </c>
      <c r="H20" s="7" t="s">
        <v>83</v>
      </c>
      <c r="I20" s="7" t="s">
        <v>38</v>
      </c>
      <c r="J20" s="7" t="s">
        <v>171</v>
      </c>
      <c r="K20" s="8">
        <f>F20*1.06</f>
      </c>
      <c r="L20" s="9">
        <v>33.23</v>
      </c>
      <c r="M20" s="28">
        <v>369</v>
      </c>
      <c r="N20" s="28"/>
      <c r="O20" s="29">
        <f>IFERROR((N20-M20)*K20,0)</f>
      </c>
      <c r="P20" s="36" t="s">
        <v>85</v>
      </c>
      <c r="Q20" s="36" t="s">
        <v>85</v>
      </c>
      <c r="R20" s="36" t="s">
        <v>85</v>
      </c>
      <c r="S20" s="36" t="s">
        <v>85</v>
      </c>
      <c r="T20" s="30">
        <v>0</v>
      </c>
      <c r="U20" s="31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130</v>
      </c>
      <c r="D21" s="15" t="s">
        <v>89</v>
      </c>
      <c r="E21" s="15" t="s">
        <v>82</v>
      </c>
      <c r="F21" s="15">
        <v>1.12</v>
      </c>
      <c r="G21" s="15">
        <v>1.1</v>
      </c>
      <c r="H21" s="15" t="s">
        <v>83</v>
      </c>
      <c r="I21" s="15" t="s">
        <v>71</v>
      </c>
      <c r="J21" s="15" t="s">
        <v>172</v>
      </c>
      <c r="K21" s="16">
        <f>F21*1.06</f>
      </c>
      <c r="L21" s="17">
        <v>746.79</v>
      </c>
      <c r="M21" s="32">
        <v>377</v>
      </c>
      <c r="N21" s="32"/>
      <c r="O21" s="33">
        <f>IFERROR((N21-M21)*K21,0)</f>
      </c>
      <c r="P21" s="32">
        <v>237.76569037656904</v>
      </c>
      <c r="Q21" s="32">
        <v>369</v>
      </c>
      <c r="R21" s="32"/>
      <c r="S21" s="34">
        <f>IFERROR((P21/Q21)*R21,0)</f>
      </c>
      <c r="T21" s="34">
        <f>IFERROR((S21-P21)*((F21-G21)*0.8),0)</f>
      </c>
      <c r="U21" s="35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130</v>
      </c>
      <c r="D22" s="7" t="s">
        <v>173</v>
      </c>
      <c r="E22" s="7" t="s">
        <v>174</v>
      </c>
      <c r="F22" s="7">
        <v>0.671</v>
      </c>
      <c r="G22" s="7">
        <v>0.622</v>
      </c>
      <c r="H22" s="7" t="s">
        <v>83</v>
      </c>
      <c r="I22" s="7" t="s">
        <v>71</v>
      </c>
      <c r="J22" s="7" t="s">
        <v>175</v>
      </c>
      <c r="K22" s="8">
        <f>F22*1.06</f>
      </c>
      <c r="L22" s="9">
        <v>576.35</v>
      </c>
      <c r="M22" s="28">
        <v>377</v>
      </c>
      <c r="N22" s="28"/>
      <c r="O22" s="29">
        <f>IFERROR((N22-M22)*K22,0)</f>
      </c>
      <c r="P22" s="28">
        <v>237.76569037656904</v>
      </c>
      <c r="Q22" s="28">
        <v>369</v>
      </c>
      <c r="R22" s="28"/>
      <c r="S22" s="30">
        <f>IFERROR((P22/Q22)*R22,0)</f>
      </c>
      <c r="T22" s="30">
        <f>IFERROR((S22-P22)*((F22-G22)*0.8),0)</f>
      </c>
      <c r="U22" s="31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130</v>
      </c>
      <c r="D23" s="15" t="s">
        <v>176</v>
      </c>
      <c r="E23" s="15" t="s">
        <v>177</v>
      </c>
      <c r="F23" s="15">
        <v>0.671</v>
      </c>
      <c r="G23" s="15">
        <v>0.622</v>
      </c>
      <c r="H23" s="15" t="s">
        <v>83</v>
      </c>
      <c r="I23" s="15" t="s">
        <v>71</v>
      </c>
      <c r="J23" s="15" t="s">
        <v>178</v>
      </c>
      <c r="K23" s="16">
        <f>F23*1.06</f>
      </c>
      <c r="L23" s="17">
        <v>572.78</v>
      </c>
      <c r="M23" s="32">
        <v>377</v>
      </c>
      <c r="N23" s="32"/>
      <c r="O23" s="33">
        <f>IFERROR((N23-M23)*K23,0)</f>
      </c>
      <c r="P23" s="32">
        <v>237.76569037656904</v>
      </c>
      <c r="Q23" s="32">
        <v>369</v>
      </c>
      <c r="R23" s="32"/>
      <c r="S23" s="34">
        <f>IFERROR((P23/Q23)*R23,0)</f>
      </c>
      <c r="T23" s="34">
        <f>IFERROR((S23-P23)*((F23-G23)*0.8),0)</f>
      </c>
      <c r="U23" s="35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130</v>
      </c>
      <c r="D24" s="7" t="s">
        <v>179</v>
      </c>
      <c r="E24" s="7" t="s">
        <v>180</v>
      </c>
      <c r="F24" s="7">
        <v>0.145</v>
      </c>
      <c r="G24" s="7">
        <v>0.134</v>
      </c>
      <c r="H24" s="7" t="s">
        <v>83</v>
      </c>
      <c r="I24" s="7" t="s">
        <v>38</v>
      </c>
      <c r="J24" s="7" t="s">
        <v>181</v>
      </c>
      <c r="K24" s="8">
        <f>F24*1.06</f>
      </c>
      <c r="L24" s="9">
        <v>134.99</v>
      </c>
      <c r="M24" s="28">
        <v>369</v>
      </c>
      <c r="N24" s="28"/>
      <c r="O24" s="29">
        <f>IFERROR((N24-M24)*K24,0)</f>
      </c>
      <c r="P24" s="28">
        <v>237.76569037656904</v>
      </c>
      <c r="Q24" s="28">
        <v>369</v>
      </c>
      <c r="R24" s="28"/>
      <c r="S24" s="30">
        <f>IFERROR((P24/Q24)*R24,0)</f>
      </c>
      <c r="T24" s="30">
        <f>IFERROR((S24-P24)*((F24-G24)*0.8),0)</f>
      </c>
      <c r="U24" s="31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130</v>
      </c>
      <c r="D25" s="15" t="s">
        <v>182</v>
      </c>
      <c r="E25" s="15" t="s">
        <v>183</v>
      </c>
      <c r="F25" s="15">
        <v>0.435</v>
      </c>
      <c r="G25" s="15">
        <v>0.425</v>
      </c>
      <c r="H25" s="15" t="s">
        <v>83</v>
      </c>
      <c r="I25" s="15" t="s">
        <v>38</v>
      </c>
      <c r="J25" s="15" t="s">
        <v>184</v>
      </c>
      <c r="K25" s="16">
        <f>F25*1.06</f>
      </c>
      <c r="L25" s="17">
        <v>283.95</v>
      </c>
      <c r="M25" s="32">
        <v>369</v>
      </c>
      <c r="N25" s="32"/>
      <c r="O25" s="33">
        <f>IFERROR((N25-M25)*K25,0)</f>
      </c>
      <c r="P25" s="32">
        <v>237.76569037656904</v>
      </c>
      <c r="Q25" s="32">
        <v>369</v>
      </c>
      <c r="R25" s="32"/>
      <c r="S25" s="34">
        <f>IFERROR((P25/Q25)*R25,0)</f>
      </c>
      <c r="T25" s="34">
        <f>IFERROR((S25-P25)*((F25-G25)*0.8),0)</f>
      </c>
      <c r="U25" s="35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130</v>
      </c>
      <c r="D26" s="7" t="s">
        <v>65</v>
      </c>
      <c r="E26" s="7" t="s">
        <v>66</v>
      </c>
      <c r="F26" s="7">
        <v>0.077</v>
      </c>
      <c r="G26" s="7">
        <v>0.069</v>
      </c>
      <c r="H26" s="7" t="s">
        <v>83</v>
      </c>
      <c r="I26" s="7" t="s">
        <v>38</v>
      </c>
      <c r="J26" s="7" t="s">
        <v>185</v>
      </c>
      <c r="K26" s="8">
        <f>F26*1.06</f>
      </c>
      <c r="L26" s="9">
        <v>81.74</v>
      </c>
      <c r="M26" s="28">
        <v>369</v>
      </c>
      <c r="N26" s="28"/>
      <c r="O26" s="29">
        <f>IFERROR((N26-M26)*K26,0)</f>
      </c>
      <c r="P26" s="28">
        <v>237.76569037656904</v>
      </c>
      <c r="Q26" s="28">
        <v>369</v>
      </c>
      <c r="R26" s="28"/>
      <c r="S26" s="30">
        <f>IFERROR((P26/Q26)*R26,0)</f>
      </c>
      <c r="T26" s="30">
        <f>IFERROR((S26-P26)*((F26-G26)*0.8),0)</f>
      </c>
      <c r="U26" s="31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130</v>
      </c>
      <c r="D27" s="15" t="s">
        <v>186</v>
      </c>
      <c r="E27" s="15" t="s">
        <v>187</v>
      </c>
      <c r="F27" s="15">
        <v>0.316</v>
      </c>
      <c r="G27" s="15">
        <v>0.316</v>
      </c>
      <c r="H27" s="15" t="s">
        <v>83</v>
      </c>
      <c r="I27" s="15" t="s">
        <v>71</v>
      </c>
      <c r="J27" s="15" t="s">
        <v>188</v>
      </c>
      <c r="K27" s="16">
        <f>F27*1.06</f>
      </c>
      <c r="L27" s="17">
        <v>282.5</v>
      </c>
      <c r="M27" s="32">
        <v>377</v>
      </c>
      <c r="N27" s="32"/>
      <c r="O27" s="33">
        <f>IFERROR((N27-M27)*K27,0)</f>
      </c>
      <c r="P27" s="37" t="s">
        <v>85</v>
      </c>
      <c r="Q27" s="37" t="s">
        <v>85</v>
      </c>
      <c r="R27" s="37" t="s">
        <v>85</v>
      </c>
      <c r="S27" s="37" t="s">
        <v>85</v>
      </c>
      <c r="T27" s="34">
        <v>0</v>
      </c>
      <c r="U27" s="35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130</v>
      </c>
      <c r="D28" s="7" t="s">
        <v>107</v>
      </c>
      <c r="E28" s="7" t="s">
        <v>108</v>
      </c>
      <c r="F28" s="7">
        <v>1.521</v>
      </c>
      <c r="G28" s="7">
        <v>1.521</v>
      </c>
      <c r="H28" s="7" t="s">
        <v>83</v>
      </c>
      <c r="I28" s="7" t="s">
        <v>71</v>
      </c>
      <c r="J28" s="7" t="s">
        <v>189</v>
      </c>
      <c r="K28" s="8">
        <f>F28*1.06</f>
      </c>
      <c r="L28" s="9">
        <v>804.05</v>
      </c>
      <c r="M28" s="28">
        <v>377</v>
      </c>
      <c r="N28" s="28"/>
      <c r="O28" s="29">
        <f>IFERROR((N28-M28)*K28,0)</f>
      </c>
      <c r="P28" s="36" t="s">
        <v>85</v>
      </c>
      <c r="Q28" s="36" t="s">
        <v>85</v>
      </c>
      <c r="R28" s="36" t="s">
        <v>85</v>
      </c>
      <c r="S28" s="36" t="s">
        <v>85</v>
      </c>
      <c r="T28" s="30">
        <v>0</v>
      </c>
      <c r="U28" s="31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130</v>
      </c>
      <c r="D29" s="15" t="s">
        <v>190</v>
      </c>
      <c r="E29" s="15" t="s">
        <v>191</v>
      </c>
      <c r="F29" s="15">
        <v>1.027</v>
      </c>
      <c r="G29" s="15">
        <v>0.967</v>
      </c>
      <c r="H29" s="15" t="s">
        <v>83</v>
      </c>
      <c r="I29" s="15" t="s">
        <v>38</v>
      </c>
      <c r="J29" s="15" t="s">
        <v>192</v>
      </c>
      <c r="K29" s="16">
        <f>F29*1.06</f>
      </c>
      <c r="L29" s="17">
        <v>742.93</v>
      </c>
      <c r="M29" s="32">
        <v>369</v>
      </c>
      <c r="N29" s="32"/>
      <c r="O29" s="33">
        <f>IFERROR((N29-M29)*K29,0)</f>
      </c>
      <c r="P29" s="32">
        <v>237.76569037656904</v>
      </c>
      <c r="Q29" s="32">
        <v>369</v>
      </c>
      <c r="R29" s="32"/>
      <c r="S29" s="34">
        <f>IFERROR((P29/Q29)*R29,0)</f>
      </c>
      <c r="T29" s="34">
        <f>IFERROR((S29-P29)*((F29-G29)*0.8),0)</f>
      </c>
      <c r="U29" s="35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130</v>
      </c>
      <c r="D30" s="7" t="s">
        <v>94</v>
      </c>
      <c r="E30" s="7" t="s">
        <v>95</v>
      </c>
      <c r="F30" s="7">
        <v>1.22</v>
      </c>
      <c r="G30" s="7">
        <v>1.22</v>
      </c>
      <c r="H30" s="7" t="s">
        <v>83</v>
      </c>
      <c r="I30" s="7" t="s">
        <v>71</v>
      </c>
      <c r="J30" s="7" t="s">
        <v>193</v>
      </c>
      <c r="K30" s="8">
        <f>F30*1.06</f>
      </c>
      <c r="L30" s="9">
        <v>661.2</v>
      </c>
      <c r="M30" s="28">
        <v>377</v>
      </c>
      <c r="N30" s="28"/>
      <c r="O30" s="29">
        <f>IFERROR((N30-M30)*K30,0)</f>
      </c>
      <c r="P30" s="36" t="s">
        <v>85</v>
      </c>
      <c r="Q30" s="36" t="s">
        <v>85</v>
      </c>
      <c r="R30" s="36" t="s">
        <v>85</v>
      </c>
      <c r="S30" s="36" t="s">
        <v>85</v>
      </c>
      <c r="T30" s="30">
        <v>0</v>
      </c>
      <c r="U30" s="31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130</v>
      </c>
      <c r="D31" s="15" t="s">
        <v>119</v>
      </c>
      <c r="E31" s="15" t="s">
        <v>120</v>
      </c>
      <c r="F31" s="15">
        <v>0.361</v>
      </c>
      <c r="G31" s="15">
        <v>0.321</v>
      </c>
      <c r="H31" s="15" t="s">
        <v>83</v>
      </c>
      <c r="I31" s="15" t="s">
        <v>38</v>
      </c>
      <c r="J31" s="15" t="s">
        <v>194</v>
      </c>
      <c r="K31" s="16">
        <f>F31*1.06</f>
      </c>
      <c r="L31" s="17">
        <v>215.85</v>
      </c>
      <c r="M31" s="32">
        <v>369</v>
      </c>
      <c r="N31" s="32"/>
      <c r="O31" s="33">
        <f>IFERROR((N31-M31)*K31,0)</f>
      </c>
      <c r="P31" s="32">
        <v>237.76569037656904</v>
      </c>
      <c r="Q31" s="32">
        <v>369</v>
      </c>
      <c r="R31" s="32"/>
      <c r="S31" s="34">
        <f>IFERROR((P31/Q31)*R31,0)</f>
      </c>
      <c r="T31" s="34">
        <f>IFERROR((S31-P31)*((F31-G31)*0.8),0)</f>
      </c>
      <c r="U31" s="35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130</v>
      </c>
      <c r="D32" s="7" t="s">
        <v>62</v>
      </c>
      <c r="E32" s="7" t="s">
        <v>63</v>
      </c>
      <c r="F32" s="7">
        <v>0.096</v>
      </c>
      <c r="G32" s="7">
        <v>0.084</v>
      </c>
      <c r="H32" s="7" t="s">
        <v>83</v>
      </c>
      <c r="I32" s="7" t="s">
        <v>38</v>
      </c>
      <c r="J32" s="7" t="s">
        <v>195</v>
      </c>
      <c r="K32" s="8">
        <f>F32*1.06</f>
      </c>
      <c r="L32" s="9">
        <v>109.52</v>
      </c>
      <c r="M32" s="28">
        <v>369</v>
      </c>
      <c r="N32" s="28"/>
      <c r="O32" s="29">
        <f>IFERROR((N32-M32)*K32,0)</f>
      </c>
      <c r="P32" s="28">
        <v>237.76569037656904</v>
      </c>
      <c r="Q32" s="28">
        <v>369</v>
      </c>
      <c r="R32" s="28"/>
      <c r="S32" s="30">
        <f>IFERROR((P32/Q32)*R32,0)</f>
      </c>
      <c r="T32" s="30">
        <f>IFERROR((S32-P32)*((F32-G32)*0.8),0)</f>
      </c>
      <c r="U32" s="31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130</v>
      </c>
      <c r="D33" s="15" t="s">
        <v>78</v>
      </c>
      <c r="E33" s="15" t="s">
        <v>196</v>
      </c>
      <c r="F33" s="15">
        <v>0.268</v>
      </c>
      <c r="G33" s="15">
        <v>0.254</v>
      </c>
      <c r="H33" s="15" t="s">
        <v>83</v>
      </c>
      <c r="I33" s="15" t="s">
        <v>38</v>
      </c>
      <c r="J33" s="15" t="s">
        <v>197</v>
      </c>
      <c r="K33" s="16">
        <f>F33*1.06</f>
      </c>
      <c r="L33" s="17">
        <v>223.98</v>
      </c>
      <c r="M33" s="32">
        <v>369</v>
      </c>
      <c r="N33" s="32"/>
      <c r="O33" s="33">
        <f>IFERROR((N33-M33)*K33,0)</f>
      </c>
      <c r="P33" s="32">
        <v>237.76569037656904</v>
      </c>
      <c r="Q33" s="32">
        <v>369</v>
      </c>
      <c r="R33" s="32"/>
      <c r="S33" s="34">
        <f>IFERROR((P33/Q33)*R33,0)</f>
      </c>
      <c r="T33" s="34">
        <f>IFERROR((S33-P33)*((F33-G33)*0.8),0)</f>
      </c>
      <c r="U33" s="35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130</v>
      </c>
      <c r="D34" s="7" t="s">
        <v>198</v>
      </c>
      <c r="E34" s="7" t="s">
        <v>199</v>
      </c>
      <c r="F34" s="7">
        <v>0.164</v>
      </c>
      <c r="G34" s="7">
        <v>0.1</v>
      </c>
      <c r="H34" s="7" t="s">
        <v>83</v>
      </c>
      <c r="I34" s="7" t="s">
        <v>38</v>
      </c>
      <c r="J34" s="7" t="s">
        <v>200</v>
      </c>
      <c r="K34" s="8">
        <f>F34*1.06</f>
      </c>
      <c r="L34" s="9">
        <v>110.78</v>
      </c>
      <c r="M34" s="28">
        <v>369</v>
      </c>
      <c r="N34" s="28"/>
      <c r="O34" s="29">
        <f>IFERROR((N34-M34)*K34,0)</f>
      </c>
      <c r="P34" s="28">
        <v>237.76569037656904</v>
      </c>
      <c r="Q34" s="28">
        <v>369</v>
      </c>
      <c r="R34" s="28"/>
      <c r="S34" s="30">
        <f>IFERROR((P34/Q34)*R34,0)</f>
      </c>
      <c r="T34" s="30">
        <f>IFERROR((S34-P34)*((F34-G34)*0.8),0)</f>
      </c>
      <c r="U34" s="31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130</v>
      </c>
      <c r="D35" s="15" t="s">
        <v>91</v>
      </c>
      <c r="E35" s="15" t="s">
        <v>92</v>
      </c>
      <c r="F35" s="15">
        <v>1.12</v>
      </c>
      <c r="G35" s="15">
        <v>1.092</v>
      </c>
      <c r="H35" s="15" t="s">
        <v>83</v>
      </c>
      <c r="I35" s="15" t="s">
        <v>71</v>
      </c>
      <c r="J35" s="15" t="s">
        <v>201</v>
      </c>
      <c r="K35" s="16">
        <f>F35*1.06</f>
      </c>
      <c r="L35" s="17">
        <v>747.12</v>
      </c>
      <c r="M35" s="32">
        <v>377</v>
      </c>
      <c r="N35" s="32"/>
      <c r="O35" s="33">
        <f>IFERROR((N35-M35)*K35,0)</f>
      </c>
      <c r="P35" s="32">
        <v>237.76569037656904</v>
      </c>
      <c r="Q35" s="32">
        <v>369</v>
      </c>
      <c r="R35" s="32"/>
      <c r="S35" s="34">
        <f>IFERROR((P35/Q35)*R35,0)</f>
      </c>
      <c r="T35" s="34">
        <f>IFERROR((S35-P35)*((F35-G35)*0.8),0)</f>
      </c>
      <c r="U35" s="35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130</v>
      </c>
      <c r="D36" s="7" t="s">
        <v>105</v>
      </c>
      <c r="E36" s="7" t="s">
        <v>82</v>
      </c>
      <c r="F36" s="7">
        <v>1.383</v>
      </c>
      <c r="G36" s="7">
        <v>1.383</v>
      </c>
      <c r="H36" s="7" t="s">
        <v>83</v>
      </c>
      <c r="I36" s="7" t="s">
        <v>71</v>
      </c>
      <c r="J36" s="7" t="s">
        <v>202</v>
      </c>
      <c r="K36" s="8">
        <f>F36*1.06</f>
      </c>
      <c r="L36" s="9">
        <v>762.68</v>
      </c>
      <c r="M36" s="28">
        <v>377</v>
      </c>
      <c r="N36" s="28"/>
      <c r="O36" s="29">
        <f>IFERROR((N36-M36)*K36,0)</f>
      </c>
      <c r="P36" s="36" t="s">
        <v>85</v>
      </c>
      <c r="Q36" s="36" t="s">
        <v>85</v>
      </c>
      <c r="R36" s="36" t="s">
        <v>85</v>
      </c>
      <c r="S36" s="36" t="s">
        <v>85</v>
      </c>
      <c r="T36" s="30">
        <v>0</v>
      </c>
      <c r="U36" s="31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130</v>
      </c>
      <c r="D37" s="15" t="s">
        <v>110</v>
      </c>
      <c r="E37" s="15" t="s">
        <v>111</v>
      </c>
      <c r="F37" s="15">
        <v>1.25</v>
      </c>
      <c r="G37" s="15">
        <v>1.25</v>
      </c>
      <c r="H37" s="15" t="s">
        <v>83</v>
      </c>
      <c r="I37" s="15" t="s">
        <v>71</v>
      </c>
      <c r="J37" s="15" t="s">
        <v>203</v>
      </c>
      <c r="K37" s="16">
        <f>F37*1.06</f>
      </c>
      <c r="L37" s="17">
        <v>680.85</v>
      </c>
      <c r="M37" s="32">
        <v>377</v>
      </c>
      <c r="N37" s="32"/>
      <c r="O37" s="33">
        <f>IFERROR((N37-M37)*K37,0)</f>
      </c>
      <c r="P37" s="37" t="s">
        <v>85</v>
      </c>
      <c r="Q37" s="37" t="s">
        <v>85</v>
      </c>
      <c r="R37" s="37" t="s">
        <v>85</v>
      </c>
      <c r="S37" s="37" t="s">
        <v>85</v>
      </c>
      <c r="T37" s="34">
        <v>0</v>
      </c>
      <c r="U37" s="35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130</v>
      </c>
      <c r="D38" s="7" t="s">
        <v>204</v>
      </c>
      <c r="E38" s="7" t="s">
        <v>205</v>
      </c>
      <c r="F38" s="7">
        <v>0.163</v>
      </c>
      <c r="G38" s="7">
        <v>0.153</v>
      </c>
      <c r="H38" s="7" t="s">
        <v>83</v>
      </c>
      <c r="I38" s="7" t="s">
        <v>38</v>
      </c>
      <c r="J38" s="7" t="s">
        <v>206</v>
      </c>
      <c r="K38" s="8">
        <f>F38*1.06</f>
      </c>
      <c r="L38" s="9">
        <v>201.79</v>
      </c>
      <c r="M38" s="28">
        <v>369</v>
      </c>
      <c r="N38" s="28"/>
      <c r="O38" s="29">
        <f>IFERROR((N38-M38)*K38,0)</f>
      </c>
      <c r="P38" s="28">
        <v>237.76569037656904</v>
      </c>
      <c r="Q38" s="28">
        <v>369</v>
      </c>
      <c r="R38" s="28"/>
      <c r="S38" s="30">
        <f>IFERROR((P38/Q38)*R38,0)</f>
      </c>
      <c r="T38" s="30">
        <f>IFERROR((S38-P38)*((F38-G38)*0.8),0)</f>
      </c>
      <c r="U38" s="31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130</v>
      </c>
      <c r="D39" s="15" t="s">
        <v>99</v>
      </c>
      <c r="E39" s="15" t="s">
        <v>100</v>
      </c>
      <c r="F39" s="15">
        <v>1.12</v>
      </c>
      <c r="G39" s="15">
        <v>1.12</v>
      </c>
      <c r="H39" s="15" t="s">
        <v>83</v>
      </c>
      <c r="I39" s="15" t="s">
        <v>71</v>
      </c>
      <c r="J39" s="15" t="s">
        <v>207</v>
      </c>
      <c r="K39" s="16">
        <f>F39*1.06</f>
      </c>
      <c r="L39" s="17">
        <v>630.46</v>
      </c>
      <c r="M39" s="32">
        <v>377</v>
      </c>
      <c r="N39" s="32"/>
      <c r="O39" s="33">
        <f>IFERROR((N39-M39)*K39,0)</f>
      </c>
      <c r="P39" s="37" t="s">
        <v>85</v>
      </c>
      <c r="Q39" s="37" t="s">
        <v>85</v>
      </c>
      <c r="R39" s="37" t="s">
        <v>85</v>
      </c>
      <c r="S39" s="37" t="s">
        <v>85</v>
      </c>
      <c r="T39" s="34">
        <v>0</v>
      </c>
      <c r="U39" s="35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130</v>
      </c>
      <c r="D40" s="7" t="s">
        <v>208</v>
      </c>
      <c r="E40" s="7" t="s">
        <v>209</v>
      </c>
      <c r="F40" s="7">
        <v>0.218</v>
      </c>
      <c r="G40" s="7">
        <v>0.218</v>
      </c>
      <c r="H40" s="7" t="s">
        <v>83</v>
      </c>
      <c r="I40" s="7" t="s">
        <v>38</v>
      </c>
      <c r="J40" s="7" t="s">
        <v>210</v>
      </c>
      <c r="K40" s="8">
        <f>F40*1.06</f>
      </c>
      <c r="L40" s="9">
        <v>142.12</v>
      </c>
      <c r="M40" s="28">
        <v>369</v>
      </c>
      <c r="N40" s="28"/>
      <c r="O40" s="29">
        <f>IFERROR((N40-M40)*K40,0)</f>
      </c>
      <c r="P40" s="36" t="s">
        <v>85</v>
      </c>
      <c r="Q40" s="36" t="s">
        <v>85</v>
      </c>
      <c r="R40" s="36" t="s">
        <v>85</v>
      </c>
      <c r="S40" s="36" t="s">
        <v>85</v>
      </c>
      <c r="T40" s="30">
        <v>0</v>
      </c>
      <c r="U40" s="31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130</v>
      </c>
      <c r="D41" s="15" t="s">
        <v>211</v>
      </c>
      <c r="E41" s="15" t="s">
        <v>212</v>
      </c>
      <c r="F41" s="15">
        <v>1.25</v>
      </c>
      <c r="G41" s="15">
        <v>1.16</v>
      </c>
      <c r="H41" s="15" t="s">
        <v>83</v>
      </c>
      <c r="I41" s="15" t="s">
        <v>71</v>
      </c>
      <c r="J41" s="15" t="s">
        <v>213</v>
      </c>
      <c r="K41" s="16">
        <f>F41*1.06</f>
      </c>
      <c r="L41" s="17">
        <v>990.48</v>
      </c>
      <c r="M41" s="32">
        <v>377</v>
      </c>
      <c r="N41" s="32"/>
      <c r="O41" s="33">
        <f>IFERROR((N41-M41)*K41,0)</f>
      </c>
      <c r="P41" s="32">
        <v>237.76569037656904</v>
      </c>
      <c r="Q41" s="32">
        <v>369</v>
      </c>
      <c r="R41" s="32"/>
      <c r="S41" s="34">
        <f>IFERROR((P41/Q41)*R41,0)</f>
      </c>
      <c r="T41" s="34">
        <f>IFERROR((S41-P41)*((F41-G41)*0.8),0)</f>
      </c>
      <c r="U41" s="35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130</v>
      </c>
      <c r="D42" s="7" t="s">
        <v>102</v>
      </c>
      <c r="E42" s="7" t="s">
        <v>103</v>
      </c>
      <c r="F42" s="7">
        <v>1.042</v>
      </c>
      <c r="G42" s="7">
        <v>1.042</v>
      </c>
      <c r="H42" s="7" t="s">
        <v>83</v>
      </c>
      <c r="I42" s="7" t="s">
        <v>38</v>
      </c>
      <c r="J42" s="7" t="s">
        <v>214</v>
      </c>
      <c r="K42" s="8">
        <f>F42*1.06</f>
      </c>
      <c r="L42" s="9">
        <v>586.56</v>
      </c>
      <c r="M42" s="28">
        <v>369</v>
      </c>
      <c r="N42" s="28"/>
      <c r="O42" s="29">
        <f>IFERROR((N42-M42)*K42,0)</f>
      </c>
      <c r="P42" s="36" t="s">
        <v>85</v>
      </c>
      <c r="Q42" s="36" t="s">
        <v>85</v>
      </c>
      <c r="R42" s="36" t="s">
        <v>85</v>
      </c>
      <c r="S42" s="36" t="s">
        <v>85</v>
      </c>
      <c r="T42" s="30">
        <v>0</v>
      </c>
      <c r="U42" s="31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130</v>
      </c>
      <c r="D43" s="15" t="s">
        <v>215</v>
      </c>
      <c r="E43" s="15" t="s">
        <v>216</v>
      </c>
      <c r="F43" s="15">
        <v>0.268</v>
      </c>
      <c r="G43" s="15">
        <v>0.268</v>
      </c>
      <c r="H43" s="15" t="s">
        <v>83</v>
      </c>
      <c r="I43" s="15" t="s">
        <v>38</v>
      </c>
      <c r="J43" s="15" t="s">
        <v>217</v>
      </c>
      <c r="K43" s="16">
        <f>F43*1.06</f>
      </c>
      <c r="L43" s="17">
        <v>171.61</v>
      </c>
      <c r="M43" s="32">
        <v>369</v>
      </c>
      <c r="N43" s="32"/>
      <c r="O43" s="33">
        <f>IFERROR((N43-M43)*K43,0)</f>
      </c>
      <c r="P43" s="37" t="s">
        <v>85</v>
      </c>
      <c r="Q43" s="37" t="s">
        <v>85</v>
      </c>
      <c r="R43" s="37" t="s">
        <v>85</v>
      </c>
      <c r="S43" s="37" t="s">
        <v>85</v>
      </c>
      <c r="T43" s="34">
        <v>0</v>
      </c>
      <c r="U43" s="35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130</v>
      </c>
      <c r="D44" s="7" t="s">
        <v>97</v>
      </c>
      <c r="E44" s="7" t="s">
        <v>82</v>
      </c>
      <c r="F44" s="7">
        <v>1.33</v>
      </c>
      <c r="G44" s="7">
        <v>1.33</v>
      </c>
      <c r="H44" s="7" t="s">
        <v>83</v>
      </c>
      <c r="I44" s="7" t="s">
        <v>71</v>
      </c>
      <c r="J44" s="7" t="s">
        <v>218</v>
      </c>
      <c r="K44" s="8">
        <f>F44*1.06</f>
      </c>
      <c r="L44" s="9">
        <v>755.28</v>
      </c>
      <c r="M44" s="28">
        <v>377</v>
      </c>
      <c r="N44" s="28"/>
      <c r="O44" s="29">
        <f>IFERROR((N44-M44)*K44,0)</f>
      </c>
      <c r="P44" s="36" t="s">
        <v>85</v>
      </c>
      <c r="Q44" s="36" t="s">
        <v>85</v>
      </c>
      <c r="R44" s="36" t="s">
        <v>85</v>
      </c>
      <c r="S44" s="36" t="s">
        <v>85</v>
      </c>
      <c r="T44" s="30">
        <v>0</v>
      </c>
      <c r="U44" s="31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130</v>
      </c>
      <c r="D45" s="15" t="s">
        <v>113</v>
      </c>
      <c r="E45" s="15" t="s">
        <v>114</v>
      </c>
      <c r="F45" s="15">
        <v>1.25</v>
      </c>
      <c r="G45" s="15">
        <v>1.25</v>
      </c>
      <c r="H45" s="15" t="s">
        <v>83</v>
      </c>
      <c r="I45" s="15" t="s">
        <v>71</v>
      </c>
      <c r="J45" s="15" t="s">
        <v>219</v>
      </c>
      <c r="K45" s="16">
        <f>F45*1.06</f>
      </c>
      <c r="L45" s="17">
        <v>672.41</v>
      </c>
      <c r="M45" s="32">
        <v>377</v>
      </c>
      <c r="N45" s="32"/>
      <c r="O45" s="33">
        <f>IFERROR((N45-M45)*K45,0)</f>
      </c>
      <c r="P45" s="37" t="s">
        <v>85</v>
      </c>
      <c r="Q45" s="37" t="s">
        <v>85</v>
      </c>
      <c r="R45" s="37" t="s">
        <v>85</v>
      </c>
      <c r="S45" s="37" t="s">
        <v>85</v>
      </c>
      <c r="T45" s="34">
        <v>0</v>
      </c>
      <c r="U45" s="35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130</v>
      </c>
      <c r="D46" s="7" t="s">
        <v>220</v>
      </c>
      <c r="E46" s="7" t="s">
        <v>221</v>
      </c>
      <c r="F46" s="7">
        <v>0.168</v>
      </c>
      <c r="G46" s="7">
        <v>0.163</v>
      </c>
      <c r="H46" s="7" t="s">
        <v>83</v>
      </c>
      <c r="I46" s="7" t="s">
        <v>38</v>
      </c>
      <c r="J46" s="7" t="s">
        <v>222</v>
      </c>
      <c r="K46" s="8">
        <f>F46*1.06</f>
      </c>
      <c r="L46" s="9">
        <v>202.74</v>
      </c>
      <c r="M46" s="28">
        <v>369</v>
      </c>
      <c r="N46" s="28"/>
      <c r="O46" s="29">
        <f>IFERROR((N46-M46)*K46,0)</f>
      </c>
      <c r="P46" s="28">
        <v>237.76569037656904</v>
      </c>
      <c r="Q46" s="28">
        <v>369</v>
      </c>
      <c r="R46" s="28"/>
      <c r="S46" s="30">
        <f>IFERROR((P46/Q46)*R46,0)</f>
      </c>
      <c r="T46" s="30">
        <f>IFERROR((S46-P46)*((F46-G46)*0.8),0)</f>
      </c>
      <c r="U46" s="31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130</v>
      </c>
      <c r="D47" s="15" t="s">
        <v>223</v>
      </c>
      <c r="E47" s="15" t="s">
        <v>224</v>
      </c>
      <c r="F47" s="15">
        <v>0.358</v>
      </c>
      <c r="G47" s="15">
        <v>0.326</v>
      </c>
      <c r="H47" s="15" t="s">
        <v>83</v>
      </c>
      <c r="I47" s="15" t="s">
        <v>38</v>
      </c>
      <c r="J47" s="15" t="s">
        <v>225</v>
      </c>
      <c r="K47" s="16">
        <f>F47*1.06</f>
      </c>
      <c r="L47" s="17">
        <v>273.27</v>
      </c>
      <c r="M47" s="32">
        <v>369</v>
      </c>
      <c r="N47" s="32"/>
      <c r="O47" s="33">
        <f>IFERROR((N47-M47)*K47,0)</f>
      </c>
      <c r="P47" s="32">
        <v>237.76569037656904</v>
      </c>
      <c r="Q47" s="32">
        <v>369</v>
      </c>
      <c r="R47" s="32"/>
      <c r="S47" s="34">
        <f>IFERROR((P47/Q47)*R47,0)</f>
      </c>
      <c r="T47" s="34">
        <f>IFERROR((S47-P47)*((F47-G47)*0.8),0)</f>
      </c>
      <c r="U47" s="35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130</v>
      </c>
      <c r="D48" s="7" t="s">
        <v>68</v>
      </c>
      <c r="E48" s="7" t="s">
        <v>69</v>
      </c>
      <c r="F48" s="7">
        <v>0.444</v>
      </c>
      <c r="G48" s="7">
        <v>0.386</v>
      </c>
      <c r="H48" s="7" t="s">
        <v>83</v>
      </c>
      <c r="I48" s="7" t="s">
        <v>71</v>
      </c>
      <c r="J48" s="7" t="s">
        <v>226</v>
      </c>
      <c r="K48" s="8">
        <f>F48*1.06</f>
      </c>
      <c r="L48" s="9">
        <v>295.97</v>
      </c>
      <c r="M48" s="28">
        <v>377</v>
      </c>
      <c r="N48" s="28"/>
      <c r="O48" s="29">
        <f>IFERROR((N48-M48)*K48,0)</f>
      </c>
      <c r="P48" s="28">
        <v>237.76569037656904</v>
      </c>
      <c r="Q48" s="28">
        <v>369</v>
      </c>
      <c r="R48" s="28"/>
      <c r="S48" s="30">
        <f>IFERROR((P48/Q48)*R48,0)</f>
      </c>
      <c r="T48" s="30">
        <f>IFERROR((S48-P48)*((F48-G48)*0.8),0)</f>
      </c>
      <c r="U48" s="31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130</v>
      </c>
      <c r="D49" s="15" t="s">
        <v>227</v>
      </c>
      <c r="E49" s="15" t="s">
        <v>228</v>
      </c>
      <c r="F49" s="15">
        <v>0.3095</v>
      </c>
      <c r="G49" s="15">
        <v>0.29</v>
      </c>
      <c r="H49" s="15" t="s">
        <v>83</v>
      </c>
      <c r="I49" s="15" t="s">
        <v>38</v>
      </c>
      <c r="J49" s="15" t="s">
        <v>229</v>
      </c>
      <c r="K49" s="16">
        <f>F49*1.06</f>
      </c>
      <c r="L49" s="17">
        <v>233.13</v>
      </c>
      <c r="M49" s="32">
        <v>369</v>
      </c>
      <c r="N49" s="32"/>
      <c r="O49" s="33">
        <f>IFERROR((N49-M49)*K49,0)</f>
      </c>
      <c r="P49" s="32">
        <v>237.76569037656904</v>
      </c>
      <c r="Q49" s="32">
        <v>369</v>
      </c>
      <c r="R49" s="32"/>
      <c r="S49" s="34">
        <f>IFERROR((P49/Q49)*R49,0)</f>
      </c>
      <c r="T49" s="34">
        <f>IFERROR((S49-P49)*((F49-G49)*0.8),0)</f>
      </c>
      <c r="U49" s="35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130</v>
      </c>
      <c r="D50" s="7" t="s">
        <v>230</v>
      </c>
      <c r="E50" s="7" t="s">
        <v>231</v>
      </c>
      <c r="F50" s="7">
        <v>0.3095</v>
      </c>
      <c r="G50" s="7">
        <v>0.29</v>
      </c>
      <c r="H50" s="7" t="s">
        <v>83</v>
      </c>
      <c r="I50" s="7" t="s">
        <v>38</v>
      </c>
      <c r="J50" s="7" t="s">
        <v>232</v>
      </c>
      <c r="K50" s="8">
        <f>F50*1.06</f>
      </c>
      <c r="L50" s="9">
        <v>233.13</v>
      </c>
      <c r="M50" s="28">
        <v>369</v>
      </c>
      <c r="N50" s="28"/>
      <c r="O50" s="29">
        <f>IFERROR((N50-M50)*K50,0)</f>
      </c>
      <c r="P50" s="28">
        <v>237.76569037656904</v>
      </c>
      <c r="Q50" s="28">
        <v>369</v>
      </c>
      <c r="R50" s="28"/>
      <c r="S50" s="30">
        <f>IFERROR((P50/Q50)*R50,0)</f>
      </c>
      <c r="T50" s="30">
        <f>IFERROR((S50-P50)*((F50-G50)*0.8),0)</f>
      </c>
      <c r="U50" s="31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130</v>
      </c>
      <c r="D51" s="15" t="s">
        <v>233</v>
      </c>
      <c r="E51" s="15" t="s">
        <v>82</v>
      </c>
      <c r="F51" s="15">
        <v>0.3584</v>
      </c>
      <c r="G51" s="15">
        <v>0.327</v>
      </c>
      <c r="H51" s="15" t="s">
        <v>83</v>
      </c>
      <c r="I51" s="15" t="s">
        <v>38</v>
      </c>
      <c r="J51" s="15" t="s">
        <v>234</v>
      </c>
      <c r="K51" s="16">
        <f>F51*1.06</f>
      </c>
      <c r="L51" s="17">
        <v>273.31</v>
      </c>
      <c r="M51" s="32">
        <v>369</v>
      </c>
      <c r="N51" s="32"/>
      <c r="O51" s="33">
        <f>IFERROR((N51-M51)*K51,0)</f>
      </c>
      <c r="P51" s="32">
        <v>237.76569037656904</v>
      </c>
      <c r="Q51" s="32">
        <v>369</v>
      </c>
      <c r="R51" s="32"/>
      <c r="S51" s="34">
        <f>IFERROR((P51/Q51)*R51,0)</f>
      </c>
      <c r="T51" s="34">
        <f>IFERROR((S51-P51)*((F51-G51)*0.8),0)</f>
      </c>
      <c r="U51" s="35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130</v>
      </c>
      <c r="D52" s="7" t="s">
        <v>235</v>
      </c>
      <c r="E52" s="7" t="s">
        <v>236</v>
      </c>
      <c r="F52" s="7">
        <v>1.33</v>
      </c>
      <c r="G52" s="7">
        <v>1.33</v>
      </c>
      <c r="H52" s="7" t="s">
        <v>83</v>
      </c>
      <c r="I52" s="7" t="s">
        <v>71</v>
      </c>
      <c r="J52" s="7" t="s">
        <v>237</v>
      </c>
      <c r="K52" s="8">
        <f>F52*1.06</f>
      </c>
      <c r="L52" s="9">
        <v>735.39</v>
      </c>
      <c r="M52" s="28">
        <v>377</v>
      </c>
      <c r="N52" s="28"/>
      <c r="O52" s="29">
        <f>IFERROR((N52-M52)*K52,0)</f>
      </c>
      <c r="P52" s="36" t="s">
        <v>85</v>
      </c>
      <c r="Q52" s="36" t="s">
        <v>85</v>
      </c>
      <c r="R52" s="36" t="s">
        <v>85</v>
      </c>
      <c r="S52" s="36" t="s">
        <v>85</v>
      </c>
      <c r="T52" s="30">
        <v>0</v>
      </c>
      <c r="U52" s="31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130</v>
      </c>
      <c r="D53" s="15" t="s">
        <v>238</v>
      </c>
      <c r="E53" s="15" t="s">
        <v>239</v>
      </c>
      <c r="F53" s="15">
        <v>1.33</v>
      </c>
      <c r="G53" s="15">
        <v>1.21</v>
      </c>
      <c r="H53" s="15" t="s">
        <v>83</v>
      </c>
      <c r="I53" s="15" t="s">
        <v>71</v>
      </c>
      <c r="J53" s="15" t="s">
        <v>240</v>
      </c>
      <c r="K53" s="16">
        <f>F53*1.06</f>
      </c>
      <c r="L53" s="17">
        <v>888.16</v>
      </c>
      <c r="M53" s="32">
        <v>377</v>
      </c>
      <c r="N53" s="32"/>
      <c r="O53" s="33">
        <f>IFERROR((N53-M53)*K53,0)</f>
      </c>
      <c r="P53" s="32">
        <v>237.76569037656904</v>
      </c>
      <c r="Q53" s="32">
        <v>369</v>
      </c>
      <c r="R53" s="32"/>
      <c r="S53" s="34">
        <f>IFERROR((P53/Q53)*R53,0)</f>
      </c>
      <c r="T53" s="34">
        <f>IFERROR((S53-P53)*((F53-G53)*0.8),0)</f>
      </c>
      <c r="U53" s="35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130</v>
      </c>
      <c r="D54" s="7" t="s">
        <v>241</v>
      </c>
      <c r="E54" s="7" t="s">
        <v>242</v>
      </c>
      <c r="F54" s="7">
        <v>0.3</v>
      </c>
      <c r="G54" s="7">
        <v>0.24</v>
      </c>
      <c r="H54" s="7" t="s">
        <v>83</v>
      </c>
      <c r="I54" s="7" t="s">
        <v>71</v>
      </c>
      <c r="J54" s="7" t="s">
        <v>243</v>
      </c>
      <c r="K54" s="8">
        <f>F54*1.06</f>
      </c>
      <c r="L54" s="9">
        <v>201.42</v>
      </c>
      <c r="M54" s="28">
        <v>377</v>
      </c>
      <c r="N54" s="28"/>
      <c r="O54" s="29">
        <f>IFERROR((N54-M54)*K54,0)</f>
      </c>
      <c r="P54" s="28">
        <v>237.76569037656904</v>
      </c>
      <c r="Q54" s="28">
        <v>369</v>
      </c>
      <c r="R54" s="28"/>
      <c r="S54" s="30">
        <f>IFERROR((P54/Q54)*R54,0)</f>
      </c>
      <c r="T54" s="30">
        <f>IFERROR((S54-P54)*((F54-G54)*0.8),0)</f>
      </c>
      <c r="U54" s="31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130</v>
      </c>
      <c r="D55" s="15" t="s">
        <v>244</v>
      </c>
      <c r="E55" s="15" t="s">
        <v>242</v>
      </c>
      <c r="F55" s="15">
        <v>0.304</v>
      </c>
      <c r="G55" s="15">
        <v>0.264</v>
      </c>
      <c r="H55" s="15" t="s">
        <v>83</v>
      </c>
      <c r="I55" s="15" t="s">
        <v>71</v>
      </c>
      <c r="J55" s="15" t="s">
        <v>245</v>
      </c>
      <c r="K55" s="16">
        <f>F55*1.06</f>
      </c>
      <c r="L55" s="17">
        <v>202.94</v>
      </c>
      <c r="M55" s="32">
        <v>377</v>
      </c>
      <c r="N55" s="32"/>
      <c r="O55" s="33">
        <f>IFERROR((N55-M55)*K55,0)</f>
      </c>
      <c r="P55" s="32">
        <v>237.76569037656904</v>
      </c>
      <c r="Q55" s="32">
        <v>369</v>
      </c>
      <c r="R55" s="32"/>
      <c r="S55" s="34">
        <f>IFERROR((P55/Q55)*R55,0)</f>
      </c>
      <c r="T55" s="34">
        <f>IFERROR((S55-P55)*((F55-G55)*0.8),0)</f>
      </c>
      <c r="U55" s="35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130</v>
      </c>
      <c r="D56" s="7" t="s">
        <v>246</v>
      </c>
      <c r="E56" s="7" t="s">
        <v>242</v>
      </c>
      <c r="F56" s="7">
        <v>0.287</v>
      </c>
      <c r="G56" s="7">
        <v>0.252</v>
      </c>
      <c r="H56" s="7" t="s">
        <v>83</v>
      </c>
      <c r="I56" s="7" t="s">
        <v>71</v>
      </c>
      <c r="J56" s="7" t="s">
        <v>247</v>
      </c>
      <c r="K56" s="8">
        <f>F56*1.06</f>
      </c>
      <c r="L56" s="9">
        <v>200.99</v>
      </c>
      <c r="M56" s="28">
        <v>377</v>
      </c>
      <c r="N56" s="28"/>
      <c r="O56" s="29">
        <f>IFERROR((N56-M56)*K56,0)</f>
      </c>
      <c r="P56" s="28">
        <v>237.76569037656904</v>
      </c>
      <c r="Q56" s="28">
        <v>369</v>
      </c>
      <c r="R56" s="28"/>
      <c r="S56" s="30">
        <f>IFERROR((P56/Q56)*R56,0)</f>
      </c>
      <c r="T56" s="30">
        <f>IFERROR((S56-P56)*((F56-G56)*0.8),0)</f>
      </c>
      <c r="U56" s="31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130</v>
      </c>
      <c r="D57" s="15" t="s">
        <v>248</v>
      </c>
      <c r="E57" s="15" t="s">
        <v>49</v>
      </c>
      <c r="F57" s="15">
        <v>0.116</v>
      </c>
      <c r="G57" s="15">
        <v>0.116</v>
      </c>
      <c r="H57" s="15" t="s">
        <v>83</v>
      </c>
      <c r="I57" s="15" t="s">
        <v>38</v>
      </c>
      <c r="J57" s="15" t="s">
        <v>249</v>
      </c>
      <c r="K57" s="16">
        <f>F57*1.06</f>
      </c>
      <c r="L57" s="17">
        <v>104.52</v>
      </c>
      <c r="M57" s="32">
        <v>369</v>
      </c>
      <c r="N57" s="32"/>
      <c r="O57" s="33">
        <f>IFERROR((N57-M57)*K57,0)</f>
      </c>
      <c r="P57" s="37" t="s">
        <v>85</v>
      </c>
      <c r="Q57" s="37" t="s">
        <v>85</v>
      </c>
      <c r="R57" s="37" t="s">
        <v>85</v>
      </c>
      <c r="S57" s="37" t="s">
        <v>85</v>
      </c>
      <c r="T57" s="34">
        <v>0</v>
      </c>
      <c r="U57" s="35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130</v>
      </c>
      <c r="D58" s="7" t="s">
        <v>250</v>
      </c>
      <c r="E58" s="7" t="s">
        <v>117</v>
      </c>
      <c r="F58" s="7">
        <v>0.668</v>
      </c>
      <c r="G58" s="7">
        <v>0.663</v>
      </c>
      <c r="H58" s="7" t="s">
        <v>83</v>
      </c>
      <c r="I58" s="7" t="s">
        <v>71</v>
      </c>
      <c r="J58" s="7" t="s">
        <v>251</v>
      </c>
      <c r="K58" s="8">
        <f>F58*1.06</f>
      </c>
      <c r="L58" s="9">
        <v>420.48</v>
      </c>
      <c r="M58" s="28">
        <v>377</v>
      </c>
      <c r="N58" s="28"/>
      <c r="O58" s="29">
        <f>IFERROR((N58-M58)*K58,0)</f>
      </c>
      <c r="P58" s="28">
        <v>237.76569037656904</v>
      </c>
      <c r="Q58" s="28">
        <v>369</v>
      </c>
      <c r="R58" s="28"/>
      <c r="S58" s="30">
        <f>IFERROR((P58/Q58)*R58,0)</f>
      </c>
      <c r="T58" s="30">
        <f>IFERROR((S58-P58)*((F58-G58)*0.8),0)</f>
      </c>
      <c r="U58" s="31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130</v>
      </c>
      <c r="D59" s="15" t="s">
        <v>252</v>
      </c>
      <c r="E59" s="15" t="s">
        <v>82</v>
      </c>
      <c r="F59" s="15">
        <v>0.84</v>
      </c>
      <c r="G59" s="15">
        <v>0.84</v>
      </c>
      <c r="H59" s="15" t="s">
        <v>83</v>
      </c>
      <c r="I59" s="15" t="s">
        <v>38</v>
      </c>
      <c r="J59" s="15" t="s">
        <v>253</v>
      </c>
      <c r="K59" s="16">
        <f>F59*1.06</f>
      </c>
      <c r="L59" s="17">
        <v>484.99</v>
      </c>
      <c r="M59" s="32">
        <v>369</v>
      </c>
      <c r="N59" s="32"/>
      <c r="O59" s="33">
        <f>IFERROR((N59-M59)*K59,0)</f>
      </c>
      <c r="P59" s="37" t="s">
        <v>85</v>
      </c>
      <c r="Q59" s="37" t="s">
        <v>85</v>
      </c>
      <c r="R59" s="37" t="s">
        <v>85</v>
      </c>
      <c r="S59" s="37" t="s">
        <v>85</v>
      </c>
      <c r="T59" s="34">
        <v>0</v>
      </c>
      <c r="U59" s="35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130</v>
      </c>
      <c r="D60" s="7" t="s">
        <v>254</v>
      </c>
      <c r="E60" s="7" t="s">
        <v>82</v>
      </c>
      <c r="F60" s="7">
        <v>1.33</v>
      </c>
      <c r="G60" s="7">
        <v>1.21</v>
      </c>
      <c r="H60" s="7" t="s">
        <v>83</v>
      </c>
      <c r="I60" s="7" t="s">
        <v>71</v>
      </c>
      <c r="J60" s="7" t="s">
        <v>255</v>
      </c>
      <c r="K60" s="8">
        <f>F60*1.06</f>
      </c>
      <c r="L60" s="9">
        <v>888.16</v>
      </c>
      <c r="M60" s="28">
        <v>377</v>
      </c>
      <c r="N60" s="28"/>
      <c r="O60" s="29">
        <f>IFERROR((N60-M60)*K60,0)</f>
      </c>
      <c r="P60" s="28">
        <v>237.76569037656904</v>
      </c>
      <c r="Q60" s="28">
        <v>369</v>
      </c>
      <c r="R60" s="28"/>
      <c r="S60" s="30">
        <f>IFERROR((P60/Q60)*R60,0)</f>
      </c>
      <c r="T60" s="30">
        <f>IFERROR((S60-P60)*((F60-G60)*0.8),0)</f>
      </c>
      <c r="U60" s="31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130</v>
      </c>
      <c r="D61" s="15" t="s">
        <v>256</v>
      </c>
      <c r="E61" s="15" t="s">
        <v>82</v>
      </c>
      <c r="F61" s="15">
        <v>1.33</v>
      </c>
      <c r="G61" s="15">
        <v>1.21</v>
      </c>
      <c r="H61" s="15" t="s">
        <v>83</v>
      </c>
      <c r="I61" s="15" t="s">
        <v>71</v>
      </c>
      <c r="J61" s="15" t="s">
        <v>257</v>
      </c>
      <c r="K61" s="16">
        <f>F61*1.06</f>
      </c>
      <c r="L61" s="17">
        <v>888.16</v>
      </c>
      <c r="M61" s="32">
        <v>377</v>
      </c>
      <c r="N61" s="32"/>
      <c r="O61" s="33">
        <f>IFERROR((N61-M61)*K61,0)</f>
      </c>
      <c r="P61" s="32">
        <v>237.76569037656904</v>
      </c>
      <c r="Q61" s="32">
        <v>369</v>
      </c>
      <c r="R61" s="32"/>
      <c r="S61" s="34">
        <f>IFERROR((P61/Q61)*R61,0)</f>
      </c>
      <c r="T61" s="34">
        <f>IFERROR((S61-P61)*((F61-G61)*0.8),0)</f>
      </c>
      <c r="U61" s="35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130</v>
      </c>
      <c r="D62" s="7" t="s">
        <v>258</v>
      </c>
      <c r="E62" s="7" t="s">
        <v>82</v>
      </c>
      <c r="F62" s="7">
        <v>1.33</v>
      </c>
      <c r="G62" s="7">
        <v>1.21</v>
      </c>
      <c r="H62" s="7" t="s">
        <v>83</v>
      </c>
      <c r="I62" s="7" t="s">
        <v>71</v>
      </c>
      <c r="J62" s="7" t="s">
        <v>259</v>
      </c>
      <c r="K62" s="8">
        <f>F62*1.06</f>
      </c>
      <c r="L62" s="9">
        <v>888.16</v>
      </c>
      <c r="M62" s="28">
        <v>377</v>
      </c>
      <c r="N62" s="28"/>
      <c r="O62" s="29">
        <f>IFERROR((N62-M62)*K62,0)</f>
      </c>
      <c r="P62" s="28">
        <v>237.76569037656904</v>
      </c>
      <c r="Q62" s="28">
        <v>369</v>
      </c>
      <c r="R62" s="28"/>
      <c r="S62" s="30">
        <f>IFERROR((P62/Q62)*R62,0)</f>
      </c>
      <c r="T62" s="30">
        <f>IFERROR((S62-P62)*((F62-G62)*0.8),0)</f>
      </c>
      <c r="U62" s="31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130</v>
      </c>
      <c r="D63" s="15" t="s">
        <v>260</v>
      </c>
      <c r="E63" s="15" t="s">
        <v>82</v>
      </c>
      <c r="F63" s="15">
        <v>1.33</v>
      </c>
      <c r="G63" s="15">
        <v>1.21</v>
      </c>
      <c r="H63" s="15" t="s">
        <v>83</v>
      </c>
      <c r="I63" s="15" t="s">
        <v>71</v>
      </c>
      <c r="J63" s="15" t="s">
        <v>261</v>
      </c>
      <c r="K63" s="16">
        <f>F63*1.06</f>
      </c>
      <c r="L63" s="17">
        <v>888.16</v>
      </c>
      <c r="M63" s="32">
        <v>377</v>
      </c>
      <c r="N63" s="32"/>
      <c r="O63" s="33">
        <f>IFERROR((N63-M63)*K63,0)</f>
      </c>
      <c r="P63" s="32">
        <v>237.76569037656904</v>
      </c>
      <c r="Q63" s="32">
        <v>369</v>
      </c>
      <c r="R63" s="32"/>
      <c r="S63" s="34">
        <f>IFERROR((P63/Q63)*R63,0)</f>
      </c>
      <c r="T63" s="34">
        <f>IFERROR((S63-P63)*((F63-G63)*0.8),0)</f>
      </c>
      <c r="U63" s="35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130</v>
      </c>
      <c r="D64" s="7" t="s">
        <v>262</v>
      </c>
      <c r="E64" s="7" t="s">
        <v>82</v>
      </c>
      <c r="F64" s="7">
        <v>1.33</v>
      </c>
      <c r="G64" s="7">
        <v>1.21</v>
      </c>
      <c r="H64" s="7" t="s">
        <v>83</v>
      </c>
      <c r="I64" s="7" t="s">
        <v>71</v>
      </c>
      <c r="J64" s="7" t="s">
        <v>263</v>
      </c>
      <c r="K64" s="8">
        <f>F64*1.06</f>
      </c>
      <c r="L64" s="9">
        <v>888.16</v>
      </c>
      <c r="M64" s="28">
        <v>377</v>
      </c>
      <c r="N64" s="28"/>
      <c r="O64" s="29">
        <f>IFERROR((N64-M64)*K64,0)</f>
      </c>
      <c r="P64" s="28">
        <v>237.76569037656904</v>
      </c>
      <c r="Q64" s="28">
        <v>369</v>
      </c>
      <c r="R64" s="28"/>
      <c r="S64" s="30">
        <f>IFERROR((P64/Q64)*R64,0)</f>
      </c>
      <c r="T64" s="30">
        <f>IFERROR((S64-P64)*((F64-G64)*0.8),0)</f>
      </c>
      <c r="U64" s="31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130</v>
      </c>
      <c r="D65" s="15" t="s">
        <v>264</v>
      </c>
      <c r="E65" s="15" t="s">
        <v>82</v>
      </c>
      <c r="F65" s="15">
        <v>1.12</v>
      </c>
      <c r="G65" s="15">
        <v>1.1</v>
      </c>
      <c r="H65" s="15" t="s">
        <v>83</v>
      </c>
      <c r="I65" s="15" t="s">
        <v>71</v>
      </c>
      <c r="J65" s="15" t="s">
        <v>265</v>
      </c>
      <c r="K65" s="16">
        <f>F65*1.06</f>
      </c>
      <c r="L65" s="17">
        <v>745.66</v>
      </c>
      <c r="M65" s="32">
        <v>377</v>
      </c>
      <c r="N65" s="32"/>
      <c r="O65" s="33">
        <f>IFERROR((N65-M65)*K65,0)</f>
      </c>
      <c r="P65" s="32">
        <v>237.76569037656904</v>
      </c>
      <c r="Q65" s="32">
        <v>369</v>
      </c>
      <c r="R65" s="32"/>
      <c r="S65" s="34">
        <f>IFERROR((P65/Q65)*R65,0)</f>
      </c>
      <c r="T65" s="34">
        <f>IFERROR((S65-P65)*((F65-G65)*0.8),0)</f>
      </c>
      <c r="U65" s="35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130</v>
      </c>
      <c r="D66" s="7" t="s">
        <v>40</v>
      </c>
      <c r="E66" s="7" t="s">
        <v>41</v>
      </c>
      <c r="F66" s="7">
        <v>1.182</v>
      </c>
      <c r="G66" s="7">
        <v>1.172</v>
      </c>
      <c r="H66" s="7" t="s">
        <v>83</v>
      </c>
      <c r="I66" s="7" t="s">
        <v>38</v>
      </c>
      <c r="J66" s="7" t="s">
        <v>266</v>
      </c>
      <c r="K66" s="8">
        <f>F66*1.06</f>
      </c>
      <c r="L66" s="9">
        <v>673.15</v>
      </c>
      <c r="M66" s="28">
        <v>369</v>
      </c>
      <c r="N66" s="28"/>
      <c r="O66" s="29">
        <f>IFERROR((N66-M66)*K66,0)</f>
      </c>
      <c r="P66" s="28">
        <v>237.76569037656904</v>
      </c>
      <c r="Q66" s="28">
        <v>369</v>
      </c>
      <c r="R66" s="28"/>
      <c r="S66" s="30">
        <f>IFERROR((P66/Q66)*R66,0)</f>
      </c>
      <c r="T66" s="30">
        <f>IFERROR((S66-P66)*((F66-G66)*0.8),0)</f>
      </c>
      <c r="U66" s="31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130</v>
      </c>
      <c r="D67" s="15" t="s">
        <v>267</v>
      </c>
      <c r="E67" s="15" t="s">
        <v>268</v>
      </c>
      <c r="F67" s="15">
        <v>0.713</v>
      </c>
      <c r="G67" s="15">
        <v>0.713</v>
      </c>
      <c r="H67" s="15" t="s">
        <v>83</v>
      </c>
      <c r="I67" s="15" t="s">
        <v>46</v>
      </c>
      <c r="J67" s="15" t="s">
        <v>269</v>
      </c>
      <c r="K67" s="16">
        <f>F67*1.06</f>
      </c>
      <c r="L67" s="17">
        <v>386.06</v>
      </c>
      <c r="M67" s="32">
        <v>381</v>
      </c>
      <c r="N67" s="32"/>
      <c r="O67" s="33">
        <f>IFERROR((N67-M67)*K67,0)</f>
      </c>
      <c r="P67" s="37" t="s">
        <v>85</v>
      </c>
      <c r="Q67" s="37" t="s">
        <v>85</v>
      </c>
      <c r="R67" s="37" t="s">
        <v>85</v>
      </c>
      <c r="S67" s="37" t="s">
        <v>85</v>
      </c>
      <c r="T67" s="34">
        <v>0</v>
      </c>
      <c r="U67" s="35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130</v>
      </c>
      <c r="D68" s="7" t="s">
        <v>270</v>
      </c>
      <c r="E68" s="7" t="s">
        <v>271</v>
      </c>
      <c r="F68" s="7">
        <v>0.595</v>
      </c>
      <c r="G68" s="7">
        <v>0.595</v>
      </c>
      <c r="H68" s="7" t="s">
        <v>83</v>
      </c>
      <c r="I68" s="7" t="s">
        <v>46</v>
      </c>
      <c r="J68" s="7" t="s">
        <v>272</v>
      </c>
      <c r="K68" s="8">
        <f>F68*1.06</f>
      </c>
      <c r="L68" s="9">
        <v>322.26</v>
      </c>
      <c r="M68" s="28">
        <v>381</v>
      </c>
      <c r="N68" s="28"/>
      <c r="O68" s="29">
        <f>IFERROR((N68-M68)*K68,0)</f>
      </c>
      <c r="P68" s="36" t="s">
        <v>85</v>
      </c>
      <c r="Q68" s="36" t="s">
        <v>85</v>
      </c>
      <c r="R68" s="36" t="s">
        <v>85</v>
      </c>
      <c r="S68" s="36" t="s">
        <v>85</v>
      </c>
      <c r="T68" s="30">
        <v>0</v>
      </c>
      <c r="U68" s="31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130</v>
      </c>
      <c r="D69" s="15" t="s">
        <v>75</v>
      </c>
      <c r="E69" s="15" t="s">
        <v>76</v>
      </c>
      <c r="F69" s="15">
        <v>2.724</v>
      </c>
      <c r="G69" s="15">
        <v>2.66</v>
      </c>
      <c r="H69" s="15" t="s">
        <v>83</v>
      </c>
      <c r="I69" s="15" t="s">
        <v>71</v>
      </c>
      <c r="J69" s="15" t="s">
        <v>273</v>
      </c>
      <c r="K69" s="16">
        <f>F69*1.06</f>
      </c>
      <c r="L69" s="17">
        <v>1680.14</v>
      </c>
      <c r="M69" s="32">
        <v>377</v>
      </c>
      <c r="N69" s="32"/>
      <c r="O69" s="33">
        <f>IFERROR((N69-M69)*K69,0)</f>
      </c>
      <c r="P69" s="32">
        <v>237.76569037656904</v>
      </c>
      <c r="Q69" s="32">
        <v>369</v>
      </c>
      <c r="R69" s="32"/>
      <c r="S69" s="34">
        <f>IFERROR((P69/Q69)*R69,0)</f>
      </c>
      <c r="T69" s="34">
        <f>IFERROR((S69-P69)*((F69-G69)*0.8),0)</f>
      </c>
      <c r="U69" s="35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130</v>
      </c>
      <c r="D70" s="7" t="s">
        <v>274</v>
      </c>
      <c r="E70" s="7" t="s">
        <v>275</v>
      </c>
      <c r="F70" s="7">
        <v>0.64</v>
      </c>
      <c r="G70" s="7">
        <v>0.598</v>
      </c>
      <c r="H70" s="7" t="s">
        <v>83</v>
      </c>
      <c r="I70" s="7" t="s">
        <v>38</v>
      </c>
      <c r="J70" s="7" t="s">
        <v>276</v>
      </c>
      <c r="K70" s="8">
        <f>F70*1.06</f>
      </c>
      <c r="L70" s="9">
        <v>401.14</v>
      </c>
      <c r="M70" s="28">
        <v>369</v>
      </c>
      <c r="N70" s="28"/>
      <c r="O70" s="29">
        <f>IFERROR((N70-M70)*K70,0)</f>
      </c>
      <c r="P70" s="28">
        <v>237.76569037656904</v>
      </c>
      <c r="Q70" s="28">
        <v>369</v>
      </c>
      <c r="R70" s="28"/>
      <c r="S70" s="30">
        <f>IFERROR((P70/Q70)*R70,0)</f>
      </c>
      <c r="T70" s="30">
        <f>IFERROR((S70-P70)*((F70-G70)*0.8),0)</f>
      </c>
      <c r="U70" s="31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130</v>
      </c>
      <c r="D71" s="15" t="s">
        <v>277</v>
      </c>
      <c r="E71" s="15" t="s">
        <v>212</v>
      </c>
      <c r="F71" s="15">
        <v>0.617</v>
      </c>
      <c r="G71" s="15">
        <v>0.617</v>
      </c>
      <c r="H71" s="15" t="s">
        <v>83</v>
      </c>
      <c r="I71" s="15" t="s">
        <v>38</v>
      </c>
      <c r="J71" s="15" t="s">
        <v>278</v>
      </c>
      <c r="K71" s="16">
        <f>F71*1.06</f>
      </c>
      <c r="L71" s="17">
        <v>353.41</v>
      </c>
      <c r="M71" s="32">
        <v>369</v>
      </c>
      <c r="N71" s="32"/>
      <c r="O71" s="33">
        <f>IFERROR((N71-M71)*K71,0)</f>
      </c>
      <c r="P71" s="37" t="s">
        <v>85</v>
      </c>
      <c r="Q71" s="37" t="s">
        <v>85</v>
      </c>
      <c r="R71" s="37" t="s">
        <v>85</v>
      </c>
      <c r="S71" s="37" t="s">
        <v>85</v>
      </c>
      <c r="T71" s="34">
        <v>0</v>
      </c>
      <c r="U71" s="35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130</v>
      </c>
      <c r="D72" s="7" t="s">
        <v>279</v>
      </c>
      <c r="E72" s="7" t="s">
        <v>280</v>
      </c>
      <c r="F72" s="7">
        <v>0.052</v>
      </c>
      <c r="G72" s="7">
        <v>0.052</v>
      </c>
      <c r="H72" s="7" t="s">
        <v>83</v>
      </c>
      <c r="I72" s="7" t="s">
        <v>38</v>
      </c>
      <c r="J72" s="7" t="s">
        <v>281</v>
      </c>
      <c r="K72" s="8">
        <f>F72*1.06</f>
      </c>
      <c r="L72" s="9">
        <v>48.29</v>
      </c>
      <c r="M72" s="28">
        <v>369</v>
      </c>
      <c r="N72" s="28"/>
      <c r="O72" s="29">
        <f>IFERROR((N72-M72)*K72,0)</f>
      </c>
      <c r="P72" s="36" t="s">
        <v>85</v>
      </c>
      <c r="Q72" s="36" t="s">
        <v>85</v>
      </c>
      <c r="R72" s="36" t="s">
        <v>85</v>
      </c>
      <c r="S72" s="36" t="s">
        <v>85</v>
      </c>
      <c r="T72" s="30">
        <v>0</v>
      </c>
      <c r="U72" s="31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130</v>
      </c>
      <c r="D73" s="15" t="s">
        <v>81</v>
      </c>
      <c r="E73" s="15" t="s">
        <v>82</v>
      </c>
      <c r="F73" s="15">
        <v>1.068</v>
      </c>
      <c r="G73" s="15">
        <v>1.068</v>
      </c>
      <c r="H73" s="15" t="s">
        <v>83</v>
      </c>
      <c r="I73" s="15" t="s">
        <v>71</v>
      </c>
      <c r="J73" s="15" t="s">
        <v>282</v>
      </c>
      <c r="K73" s="16">
        <f>F73*1.06</f>
      </c>
      <c r="L73" s="17">
        <v>600.62</v>
      </c>
      <c r="M73" s="32">
        <v>377</v>
      </c>
      <c r="N73" s="32"/>
      <c r="O73" s="33">
        <f>IFERROR((N73-M73)*K73,0)</f>
      </c>
      <c r="P73" s="37" t="s">
        <v>85</v>
      </c>
      <c r="Q73" s="37" t="s">
        <v>85</v>
      </c>
      <c r="R73" s="37" t="s">
        <v>85</v>
      </c>
      <c r="S73" s="37" t="s">
        <v>85</v>
      </c>
      <c r="T73" s="34">
        <v>0</v>
      </c>
      <c r="U73" s="35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130</v>
      </c>
      <c r="D74" s="7" t="s">
        <v>283</v>
      </c>
      <c r="E74" s="7" t="s">
        <v>228</v>
      </c>
      <c r="F74" s="7">
        <v>0.3095</v>
      </c>
      <c r="G74" s="7">
        <v>0.29</v>
      </c>
      <c r="H74" s="7" t="s">
        <v>83</v>
      </c>
      <c r="I74" s="7" t="s">
        <v>38</v>
      </c>
      <c r="J74" s="7" t="s">
        <v>284</v>
      </c>
      <c r="K74" s="8">
        <f>F74*1.06</f>
      </c>
      <c r="L74" s="9">
        <v>221.97</v>
      </c>
      <c r="M74" s="28">
        <v>369</v>
      </c>
      <c r="N74" s="28"/>
      <c r="O74" s="29">
        <f>IFERROR((N74-M74)*K74,0)</f>
      </c>
      <c r="P74" s="28">
        <v>237.76569037656904</v>
      </c>
      <c r="Q74" s="28">
        <v>369</v>
      </c>
      <c r="R74" s="28"/>
      <c r="S74" s="30">
        <f>IFERROR((P74/Q74)*R74,0)</f>
      </c>
      <c r="T74" s="30">
        <f>IFERROR((S74-P74)*((F74-G74)*0.8),0)</f>
      </c>
      <c r="U74" s="31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130</v>
      </c>
      <c r="D75" s="15" t="s">
        <v>285</v>
      </c>
      <c r="E75" s="15" t="s">
        <v>286</v>
      </c>
      <c r="F75" s="15">
        <v>0.3095</v>
      </c>
      <c r="G75" s="15">
        <v>0.29</v>
      </c>
      <c r="H75" s="15" t="s">
        <v>83</v>
      </c>
      <c r="I75" s="15" t="s">
        <v>38</v>
      </c>
      <c r="J75" s="15" t="s">
        <v>287</v>
      </c>
      <c r="K75" s="16">
        <f>F75*1.06</f>
      </c>
      <c r="L75" s="17">
        <v>215.02</v>
      </c>
      <c r="M75" s="32">
        <v>369</v>
      </c>
      <c r="N75" s="32"/>
      <c r="O75" s="33">
        <f>IFERROR((N75-M75)*K75,0)</f>
      </c>
      <c r="P75" s="32">
        <v>237.76569037656904</v>
      </c>
      <c r="Q75" s="32">
        <v>369</v>
      </c>
      <c r="R75" s="32"/>
      <c r="S75" s="34">
        <f>IFERROR((P75/Q75)*R75,0)</f>
      </c>
      <c r="T75" s="34">
        <f>IFERROR((S75-P75)*((F75-G75)*0.8),0)</f>
      </c>
      <c r="U75" s="35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130</v>
      </c>
      <c r="D76" s="7" t="s">
        <v>35</v>
      </c>
      <c r="E76" s="7" t="s">
        <v>82</v>
      </c>
      <c r="F76" s="7">
        <v>0.358</v>
      </c>
      <c r="G76" s="7">
        <v>0.327</v>
      </c>
      <c r="H76" s="7" t="s">
        <v>83</v>
      </c>
      <c r="I76" s="7" t="s">
        <v>38</v>
      </c>
      <c r="J76" s="7" t="s">
        <v>288</v>
      </c>
      <c r="K76" s="8">
        <f>F76*1.06</f>
      </c>
      <c r="L76" s="9">
        <v>271.21</v>
      </c>
      <c r="M76" s="28">
        <v>369</v>
      </c>
      <c r="N76" s="28"/>
      <c r="O76" s="29">
        <f>IFERROR((N76-M76)*K76,0)</f>
      </c>
      <c r="P76" s="28">
        <v>237.76569037656904</v>
      </c>
      <c r="Q76" s="28">
        <v>369</v>
      </c>
      <c r="R76" s="28"/>
      <c r="S76" s="30">
        <f>IFERROR((P76/Q76)*R76,0)</f>
      </c>
      <c r="T76" s="30">
        <f>IFERROR((S76-P76)*((F76-G76)*0.8),0)</f>
      </c>
      <c r="U76" s="31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130</v>
      </c>
      <c r="D77" s="15" t="s">
        <v>131</v>
      </c>
      <c r="E77" s="15" t="s">
        <v>41</v>
      </c>
      <c r="F77" s="15">
        <v>1.22</v>
      </c>
      <c r="G77" s="15">
        <v>1.182</v>
      </c>
      <c r="H77" s="15" t="s">
        <v>83</v>
      </c>
      <c r="I77" s="15" t="s">
        <v>38</v>
      </c>
      <c r="J77" s="15" t="s">
        <v>289</v>
      </c>
      <c r="K77" s="16">
        <f>F77*1.06</f>
      </c>
      <c r="L77" s="17">
        <v>665.19</v>
      </c>
      <c r="M77" s="32">
        <v>369</v>
      </c>
      <c r="N77" s="32"/>
      <c r="O77" s="33">
        <f>IFERROR((N77-M77)*K77,0)</f>
      </c>
      <c r="P77" s="32">
        <v>237.76569037656904</v>
      </c>
      <c r="Q77" s="32">
        <v>369</v>
      </c>
      <c r="R77" s="32"/>
      <c r="S77" s="34">
        <f>IFERROR((P77/Q77)*R77,0)</f>
      </c>
      <c r="T77" s="34">
        <f>IFERROR((S77-P77)*((F77-G77)*0.8),0)</f>
      </c>
      <c r="U77" s="35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130</v>
      </c>
      <c r="D78" s="7" t="s">
        <v>290</v>
      </c>
      <c r="E78" s="7" t="s">
        <v>291</v>
      </c>
      <c r="F78" s="7">
        <v>0.668</v>
      </c>
      <c r="G78" s="7">
        <v>0.603</v>
      </c>
      <c r="H78" s="7" t="s">
        <v>83</v>
      </c>
      <c r="I78" s="7" t="s">
        <v>71</v>
      </c>
      <c r="J78" s="7" t="s">
        <v>292</v>
      </c>
      <c r="K78" s="8">
        <f>F78*1.06</f>
      </c>
      <c r="L78" s="9">
        <v>415.91</v>
      </c>
      <c r="M78" s="28">
        <v>377</v>
      </c>
      <c r="N78" s="28"/>
      <c r="O78" s="29">
        <f>IFERROR((N78-M78)*K78,0)</f>
      </c>
      <c r="P78" s="28">
        <v>237.76569037656904</v>
      </c>
      <c r="Q78" s="28">
        <v>369</v>
      </c>
      <c r="R78" s="28"/>
      <c r="S78" s="30">
        <f>IFERROR((P78/Q78)*R78,0)</f>
      </c>
      <c r="T78" s="30">
        <f>IFERROR((S78-P78)*((F78-G78)*0.8),0)</f>
      </c>
      <c r="U78" s="31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130</v>
      </c>
      <c r="D79" s="15" t="s">
        <v>293</v>
      </c>
      <c r="E79" s="15" t="s">
        <v>294</v>
      </c>
      <c r="F79" s="15">
        <v>0.668</v>
      </c>
      <c r="G79" s="15">
        <v>0.603</v>
      </c>
      <c r="H79" s="15" t="s">
        <v>83</v>
      </c>
      <c r="I79" s="15" t="s">
        <v>71</v>
      </c>
      <c r="J79" s="15" t="s">
        <v>295</v>
      </c>
      <c r="K79" s="16">
        <f>F79*1.06</f>
      </c>
      <c r="L79" s="17">
        <v>415.91</v>
      </c>
      <c r="M79" s="32">
        <v>377</v>
      </c>
      <c r="N79" s="32"/>
      <c r="O79" s="33">
        <f>IFERROR((N79-M79)*K79,0)</f>
      </c>
      <c r="P79" s="32">
        <v>237.76569037656904</v>
      </c>
      <c r="Q79" s="32">
        <v>369</v>
      </c>
      <c r="R79" s="32"/>
      <c r="S79" s="34">
        <f>IFERROR((P79/Q79)*R79,0)</f>
      </c>
      <c r="T79" s="34">
        <f>IFERROR((S79-P79)*((F79-G79)*0.8),0)</f>
      </c>
      <c r="U79" s="35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130</v>
      </c>
      <c r="D80" s="7" t="s">
        <v>296</v>
      </c>
      <c r="E80" s="7" t="s">
        <v>82</v>
      </c>
      <c r="F80" s="7">
        <v>0.942</v>
      </c>
      <c r="G80" s="7">
        <v>0.942</v>
      </c>
      <c r="H80" s="7" t="s">
        <v>83</v>
      </c>
      <c r="I80" s="7" t="s">
        <v>71</v>
      </c>
      <c r="J80" s="7" t="s">
        <v>297</v>
      </c>
      <c r="K80" s="8">
        <f>F80*1.06</f>
      </c>
      <c r="L80" s="9">
        <v>530.63</v>
      </c>
      <c r="M80" s="28">
        <v>377</v>
      </c>
      <c r="N80" s="28"/>
      <c r="O80" s="29">
        <f>IFERROR((N80-M80)*K80,0)</f>
      </c>
      <c r="P80" s="36" t="s">
        <v>85</v>
      </c>
      <c r="Q80" s="36" t="s">
        <v>85</v>
      </c>
      <c r="R80" s="36" t="s">
        <v>85</v>
      </c>
      <c r="S80" s="36" t="s">
        <v>85</v>
      </c>
      <c r="T80" s="30">
        <v>0</v>
      </c>
      <c r="U80" s="31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130</v>
      </c>
      <c r="D81" s="15" t="s">
        <v>298</v>
      </c>
      <c r="E81" s="15" t="s">
        <v>299</v>
      </c>
      <c r="F81" s="15">
        <v>1.401</v>
      </c>
      <c r="G81" s="15">
        <v>1.366</v>
      </c>
      <c r="H81" s="15" t="s">
        <v>83</v>
      </c>
      <c r="I81" s="15" t="s">
        <v>71</v>
      </c>
      <c r="J81" s="15" t="s">
        <v>300</v>
      </c>
      <c r="K81" s="16">
        <f>F81*1.06</f>
      </c>
      <c r="L81" s="17">
        <v>968.45</v>
      </c>
      <c r="M81" s="32">
        <v>377</v>
      </c>
      <c r="N81" s="32"/>
      <c r="O81" s="33">
        <f>IFERROR((N81-M81)*K81,0)</f>
      </c>
      <c r="P81" s="32">
        <v>237.76569037656904</v>
      </c>
      <c r="Q81" s="32">
        <v>369</v>
      </c>
      <c r="R81" s="32"/>
      <c r="S81" s="34">
        <f>IFERROR((P81/Q81)*R81,0)</f>
      </c>
      <c r="T81" s="34">
        <f>IFERROR((S81-P81)*((F81-G81)*0.8),0)</f>
      </c>
      <c r="U81" s="35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130</v>
      </c>
      <c r="D82" s="7" t="s">
        <v>277</v>
      </c>
      <c r="E82" s="7" t="s">
        <v>212</v>
      </c>
      <c r="F82" s="7">
        <v>0.617</v>
      </c>
      <c r="G82" s="7">
        <v>0.617</v>
      </c>
      <c r="H82" s="7" t="s">
        <v>301</v>
      </c>
      <c r="I82" s="7" t="s">
        <v>38</v>
      </c>
      <c r="J82" s="7" t="s">
        <v>302</v>
      </c>
      <c r="K82" s="8">
        <f>F82*1.06</f>
      </c>
      <c r="L82" s="9">
        <v>353.49</v>
      </c>
      <c r="M82" s="28">
        <v>369</v>
      </c>
      <c r="N82" s="28"/>
      <c r="O82" s="29">
        <f>IFERROR((N82-M82)*K82,0)</f>
      </c>
      <c r="P82" s="36" t="s">
        <v>85</v>
      </c>
      <c r="Q82" s="36" t="s">
        <v>85</v>
      </c>
      <c r="R82" s="36" t="s">
        <v>85</v>
      </c>
      <c r="S82" s="36" t="s">
        <v>85</v>
      </c>
      <c r="T82" s="30">
        <v>0</v>
      </c>
      <c r="U82" s="31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130</v>
      </c>
      <c r="D83" s="15" t="s">
        <v>215</v>
      </c>
      <c r="E83" s="15" t="s">
        <v>216</v>
      </c>
      <c r="F83" s="15">
        <v>0.268</v>
      </c>
      <c r="G83" s="15">
        <v>0.268</v>
      </c>
      <c r="H83" s="15" t="s">
        <v>301</v>
      </c>
      <c r="I83" s="15" t="s">
        <v>38</v>
      </c>
      <c r="J83" s="15" t="s">
        <v>303</v>
      </c>
      <c r="K83" s="16">
        <f>F83*1.06</f>
      </c>
      <c r="L83" s="17">
        <v>171.61</v>
      </c>
      <c r="M83" s="32">
        <v>369</v>
      </c>
      <c r="N83" s="32"/>
      <c r="O83" s="33">
        <f>IFERROR((N83-M83)*K83,0)</f>
      </c>
      <c r="P83" s="37" t="s">
        <v>85</v>
      </c>
      <c r="Q83" s="37" t="s">
        <v>85</v>
      </c>
      <c r="R83" s="37" t="s">
        <v>85</v>
      </c>
      <c r="S83" s="37" t="s">
        <v>85</v>
      </c>
      <c r="T83" s="34">
        <v>0</v>
      </c>
      <c r="U83" s="35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130</v>
      </c>
      <c r="D84" s="7" t="s">
        <v>304</v>
      </c>
      <c r="E84" s="7" t="s">
        <v>305</v>
      </c>
      <c r="F84" s="7">
        <v>0.317</v>
      </c>
      <c r="G84" s="7">
        <v>0.272</v>
      </c>
      <c r="H84" s="7" t="s">
        <v>83</v>
      </c>
      <c r="I84" s="7" t="s">
        <v>38</v>
      </c>
      <c r="J84" s="7" t="s">
        <v>306</v>
      </c>
      <c r="K84" s="8">
        <f>F84*1.06</f>
      </c>
      <c r="L84" s="9">
        <v>204.35</v>
      </c>
      <c r="M84" s="28">
        <v>369</v>
      </c>
      <c r="N84" s="28"/>
      <c r="O84" s="29">
        <f>IFERROR((N84-M84)*K84,0)</f>
      </c>
      <c r="P84" s="28">
        <v>237.76569037656904</v>
      </c>
      <c r="Q84" s="28">
        <v>369</v>
      </c>
      <c r="R84" s="28"/>
      <c r="S84" s="30">
        <f>IFERROR((P84/Q84)*R84,0)</f>
      </c>
      <c r="T84" s="30">
        <f>IFERROR((S84-P84)*((F84-G84)*0.8),0)</f>
      </c>
      <c r="U84" s="31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130</v>
      </c>
      <c r="D85" s="15" t="s">
        <v>307</v>
      </c>
      <c r="E85" s="15" t="s">
        <v>82</v>
      </c>
      <c r="F85" s="15">
        <v>0.317</v>
      </c>
      <c r="G85" s="15">
        <v>0.279</v>
      </c>
      <c r="H85" s="15" t="s">
        <v>83</v>
      </c>
      <c r="I85" s="15" t="s">
        <v>38</v>
      </c>
      <c r="J85" s="15" t="s">
        <v>308</v>
      </c>
      <c r="K85" s="16">
        <f>F85*1.06</f>
      </c>
      <c r="L85" s="17">
        <v>210.22</v>
      </c>
      <c r="M85" s="32">
        <v>369</v>
      </c>
      <c r="N85" s="32"/>
      <c r="O85" s="33">
        <f>IFERROR((N85-M85)*K85,0)</f>
      </c>
      <c r="P85" s="32">
        <v>237.76569037656904</v>
      </c>
      <c r="Q85" s="32">
        <v>369</v>
      </c>
      <c r="R85" s="32"/>
      <c r="S85" s="34">
        <f>IFERROR((P85/Q85)*R85,0)</f>
      </c>
      <c r="T85" s="34">
        <f>IFERROR((S85-P85)*((F85-G85)*0.8),0)</f>
      </c>
      <c r="U85" s="35">
        <f>ROUND(L85+O85-T85,2)</f>
      </c>
      <c r="V85" s="21">
        <v>0</v>
      </c>
      <c r="W85" s="22">
        <f>(U85-L85)*V85/100000</f>
      </c>
    </row>
    <row r="86" spans="1:23" x14ac:dyDescent="0.25">
      <c r="A86" s="25" t="s">
        <v>122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6">
        <f>SUM(V4:V85)</f>
      </c>
      <c r="W86" s="27">
        <f>SUM(W4:W85)</f>
      </c>
    </row>
  </sheetData>
  <autoFilter ref="A3:W85"/>
  <mergeCells count="3">
    <mergeCell ref="A1:W1"/>
    <mergeCell ref="A2:D2"/>
    <mergeCell ref="A86:U8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87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310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W87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311</v>
      </c>
      <c r="D4" s="7" t="s">
        <v>169</v>
      </c>
      <c r="E4" s="7" t="s">
        <v>170</v>
      </c>
      <c r="F4" s="7">
        <v>0.035</v>
      </c>
      <c r="G4" s="7">
        <v>0.035</v>
      </c>
      <c r="H4" s="7" t="s">
        <v>37</v>
      </c>
      <c r="I4" s="7" t="s">
        <v>38</v>
      </c>
      <c r="J4" s="7" t="s">
        <v>312</v>
      </c>
      <c r="K4" s="8">
        <f>F4*1.06</f>
      </c>
      <c r="L4" s="9">
        <v>29.166</v>
      </c>
      <c r="M4" s="10">
        <v>239</v>
      </c>
      <c r="N4" s="10">
        <v>369</v>
      </c>
      <c r="O4" s="11">
        <f>IFERROR((N4-M4)*K4,0)</f>
      </c>
      <c r="P4" s="23" t="s">
        <v>85</v>
      </c>
      <c r="Q4" s="23" t="s">
        <v>85</v>
      </c>
      <c r="R4" s="23" t="s">
        <v>85</v>
      </c>
      <c r="S4" s="23" t="s">
        <v>85</v>
      </c>
      <c r="T4" s="8">
        <v>0</v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311</v>
      </c>
      <c r="D5" s="15" t="s">
        <v>167</v>
      </c>
      <c r="E5" s="15" t="s">
        <v>82</v>
      </c>
      <c r="F5" s="15">
        <v>0.317</v>
      </c>
      <c r="G5" s="15">
        <v>0.279</v>
      </c>
      <c r="H5" s="15" t="s">
        <v>37</v>
      </c>
      <c r="I5" s="15" t="s">
        <v>38</v>
      </c>
      <c r="J5" s="15" t="s">
        <v>313</v>
      </c>
      <c r="K5" s="16">
        <f>F5*1.06</f>
      </c>
      <c r="L5" s="17">
        <v>174.8578</v>
      </c>
      <c r="M5" s="18">
        <v>239</v>
      </c>
      <c r="N5" s="18">
        <v>369</v>
      </c>
      <c r="O5" s="19">
        <f>IFERROR((N5-M5)*K5,0)</f>
      </c>
      <c r="P5" s="18">
        <v>154</v>
      </c>
      <c r="Q5" s="18">
        <v>239</v>
      </c>
      <c r="R5" s="18">
        <v>369</v>
      </c>
      <c r="S5" s="16">
        <f>IFERROR((P5/Q5)*R5,0)</f>
      </c>
      <c r="T5" s="16">
        <f>IFERROR((S5-P5)*((F5-G5)*0.8),0)</f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311</v>
      </c>
      <c r="D6" s="7" t="s">
        <v>248</v>
      </c>
      <c r="E6" s="7" t="s">
        <v>49</v>
      </c>
      <c r="F6" s="7">
        <v>0.116</v>
      </c>
      <c r="G6" s="7">
        <v>0.116</v>
      </c>
      <c r="H6" s="7" t="s">
        <v>37</v>
      </c>
      <c r="I6" s="7" t="s">
        <v>38</v>
      </c>
      <c r="J6" s="7" t="s">
        <v>314</v>
      </c>
      <c r="K6" s="8">
        <f>F6*1.06</f>
      </c>
      <c r="L6" s="9">
        <v>90.6144</v>
      </c>
      <c r="M6" s="10">
        <v>239</v>
      </c>
      <c r="N6" s="10">
        <v>369</v>
      </c>
      <c r="O6" s="11">
        <f>IFERROR((N6-M6)*K6,0)</f>
      </c>
      <c r="P6" s="23" t="s">
        <v>85</v>
      </c>
      <c r="Q6" s="23" t="s">
        <v>85</v>
      </c>
      <c r="R6" s="23" t="s">
        <v>85</v>
      </c>
      <c r="S6" s="23" t="s">
        <v>85</v>
      </c>
      <c r="T6" s="8">
        <v>0</v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311</v>
      </c>
      <c r="D7" s="15" t="s">
        <v>81</v>
      </c>
      <c r="E7" s="15" t="s">
        <v>82</v>
      </c>
      <c r="F7" s="15">
        <v>1.068</v>
      </c>
      <c r="G7" s="15">
        <v>1.068</v>
      </c>
      <c r="H7" s="15" t="s">
        <v>37</v>
      </c>
      <c r="I7" s="15" t="s">
        <v>71</v>
      </c>
      <c r="J7" s="15" t="s">
        <v>315</v>
      </c>
      <c r="K7" s="16">
        <f>F7*1.06</f>
      </c>
      <c r="L7" s="17">
        <v>432.9838</v>
      </c>
      <c r="M7" s="18">
        <v>231</v>
      </c>
      <c r="N7" s="18">
        <v>377</v>
      </c>
      <c r="O7" s="19">
        <f>IFERROR((N7-M7)*K7,0)</f>
      </c>
      <c r="P7" s="24" t="s">
        <v>85</v>
      </c>
      <c r="Q7" s="24" t="s">
        <v>85</v>
      </c>
      <c r="R7" s="24" t="s">
        <v>85</v>
      </c>
      <c r="S7" s="24" t="s">
        <v>85</v>
      </c>
      <c r="T7" s="16">
        <v>0</v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311</v>
      </c>
      <c r="D8" s="7" t="s">
        <v>316</v>
      </c>
      <c r="E8" s="7" t="s">
        <v>317</v>
      </c>
      <c r="F8" s="7">
        <v>0.435</v>
      </c>
      <c r="G8" s="7">
        <v>0.377</v>
      </c>
      <c r="H8" s="7" t="s">
        <v>37</v>
      </c>
      <c r="I8" s="7" t="s">
        <v>71</v>
      </c>
      <c r="J8" s="7" t="s">
        <v>318</v>
      </c>
      <c r="K8" s="8">
        <f>F8*1.06</f>
      </c>
      <c r="L8" s="9">
        <v>219.5495</v>
      </c>
      <c r="M8" s="10">
        <v>231</v>
      </c>
      <c r="N8" s="10">
        <v>377</v>
      </c>
      <c r="O8" s="11">
        <f>IFERROR((N8-M8)*K8,0)</f>
      </c>
      <c r="P8" s="10">
        <v>154</v>
      </c>
      <c r="Q8" s="10">
        <v>239</v>
      </c>
      <c r="R8" s="10">
        <v>369</v>
      </c>
      <c r="S8" s="8">
        <f>IFERROR((P8/Q8)*R8,0)</f>
      </c>
      <c r="T8" s="8">
        <f>IFERROR((S8-P8)*((F8-G8)*0.8),0)</f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311</v>
      </c>
      <c r="D9" s="15" t="s">
        <v>227</v>
      </c>
      <c r="E9" s="15" t="s">
        <v>228</v>
      </c>
      <c r="F9" s="15">
        <v>0.3095</v>
      </c>
      <c r="G9" s="15">
        <v>0.29</v>
      </c>
      <c r="H9" s="15" t="s">
        <v>37</v>
      </c>
      <c r="I9" s="15" t="s">
        <v>38</v>
      </c>
      <c r="J9" s="15" t="s">
        <v>319</v>
      </c>
      <c r="K9" s="16">
        <f>F9*1.06</f>
      </c>
      <c r="L9" s="17">
        <v>192.484</v>
      </c>
      <c r="M9" s="18">
        <v>239</v>
      </c>
      <c r="N9" s="18">
        <v>369</v>
      </c>
      <c r="O9" s="19">
        <f>IFERROR((N9-M9)*K9,0)</f>
      </c>
      <c r="P9" s="18">
        <v>154</v>
      </c>
      <c r="Q9" s="18">
        <v>239</v>
      </c>
      <c r="R9" s="18">
        <v>369</v>
      </c>
      <c r="S9" s="16">
        <f>IFERROR((P9/Q9)*R9,0)</f>
      </c>
      <c r="T9" s="16">
        <f>IFERROR((S9-P9)*((F9-G9)*0.8),0)</f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311</v>
      </c>
      <c r="D10" s="7" t="s">
        <v>230</v>
      </c>
      <c r="E10" s="7" t="s">
        <v>231</v>
      </c>
      <c r="F10" s="7">
        <v>0.3095</v>
      </c>
      <c r="G10" s="7">
        <v>0.29</v>
      </c>
      <c r="H10" s="7" t="s">
        <v>37</v>
      </c>
      <c r="I10" s="7" t="s">
        <v>38</v>
      </c>
      <c r="J10" s="7" t="s">
        <v>320</v>
      </c>
      <c r="K10" s="8">
        <f>F10*1.06</f>
      </c>
      <c r="L10" s="9">
        <v>192.494</v>
      </c>
      <c r="M10" s="10">
        <v>239</v>
      </c>
      <c r="N10" s="10">
        <v>369</v>
      </c>
      <c r="O10" s="11">
        <f>IFERROR((N10-M10)*K10,0)</f>
      </c>
      <c r="P10" s="10">
        <v>154</v>
      </c>
      <c r="Q10" s="10">
        <v>239</v>
      </c>
      <c r="R10" s="10">
        <v>369</v>
      </c>
      <c r="S10" s="8">
        <f>IFERROR((P10/Q10)*R10,0)</f>
      </c>
      <c r="T10" s="8">
        <f>IFERROR((S10-P10)*((F10-G10)*0.8),0)</f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311</v>
      </c>
      <c r="D11" s="15" t="s">
        <v>102</v>
      </c>
      <c r="E11" s="15" t="s">
        <v>103</v>
      </c>
      <c r="F11" s="15">
        <v>1.042</v>
      </c>
      <c r="G11" s="15">
        <v>1.042</v>
      </c>
      <c r="H11" s="15" t="s">
        <v>37</v>
      </c>
      <c r="I11" s="15" t="s">
        <v>38</v>
      </c>
      <c r="J11" s="15" t="s">
        <v>321</v>
      </c>
      <c r="K11" s="16">
        <f>F11*1.06</f>
      </c>
      <c r="L11" s="17">
        <v>434.6915</v>
      </c>
      <c r="M11" s="18">
        <v>239</v>
      </c>
      <c r="N11" s="18">
        <v>369</v>
      </c>
      <c r="O11" s="19">
        <f>IFERROR((N11-M11)*K11,0)</f>
      </c>
      <c r="P11" s="24" t="s">
        <v>85</v>
      </c>
      <c r="Q11" s="24" t="s">
        <v>85</v>
      </c>
      <c r="R11" s="24" t="s">
        <v>85</v>
      </c>
      <c r="S11" s="24" t="s">
        <v>85</v>
      </c>
      <c r="T11" s="16">
        <v>0</v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311</v>
      </c>
      <c r="D12" s="7" t="s">
        <v>116</v>
      </c>
      <c r="E12" s="7" t="s">
        <v>117</v>
      </c>
      <c r="F12" s="7">
        <v>0.322</v>
      </c>
      <c r="G12" s="7">
        <v>0.29</v>
      </c>
      <c r="H12" s="7" t="s">
        <v>37</v>
      </c>
      <c r="I12" s="7" t="s">
        <v>38</v>
      </c>
      <c r="J12" s="7" t="s">
        <v>322</v>
      </c>
      <c r="K12" s="8">
        <f>F12*1.06</f>
      </c>
      <c r="L12" s="9">
        <v>163.7647</v>
      </c>
      <c r="M12" s="10">
        <v>239</v>
      </c>
      <c r="N12" s="10">
        <v>369</v>
      </c>
      <c r="O12" s="11">
        <f>IFERROR((N12-M12)*K12,0)</f>
      </c>
      <c r="P12" s="10">
        <v>154</v>
      </c>
      <c r="Q12" s="10">
        <v>239</v>
      </c>
      <c r="R12" s="10">
        <v>369</v>
      </c>
      <c r="S12" s="8">
        <f>IFERROR((P12/Q12)*R12,0)</f>
      </c>
      <c r="T12" s="8">
        <f>IFERROR((S12-P12)*((F12-G12)*0.8),0)</f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311</v>
      </c>
      <c r="D13" s="15" t="s">
        <v>119</v>
      </c>
      <c r="E13" s="15" t="s">
        <v>120</v>
      </c>
      <c r="F13" s="15">
        <v>0.361</v>
      </c>
      <c r="G13" s="15">
        <v>0.321</v>
      </c>
      <c r="H13" s="15" t="s">
        <v>37</v>
      </c>
      <c r="I13" s="15" t="s">
        <v>38</v>
      </c>
      <c r="J13" s="15" t="s">
        <v>323</v>
      </c>
      <c r="K13" s="16">
        <f>F13*1.06</f>
      </c>
      <c r="L13" s="17">
        <v>168.7928</v>
      </c>
      <c r="M13" s="18">
        <v>239</v>
      </c>
      <c r="N13" s="18">
        <v>369</v>
      </c>
      <c r="O13" s="19">
        <f>IFERROR((N13-M13)*K13,0)</f>
      </c>
      <c r="P13" s="18">
        <v>154</v>
      </c>
      <c r="Q13" s="18">
        <v>239</v>
      </c>
      <c r="R13" s="18">
        <v>369</v>
      </c>
      <c r="S13" s="16">
        <f>IFERROR((P13/Q13)*R13,0)</f>
      </c>
      <c r="T13" s="16">
        <f>IFERROR((S13-P13)*((F13-G13)*0.8),0)</f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311</v>
      </c>
      <c r="D14" s="7" t="s">
        <v>179</v>
      </c>
      <c r="E14" s="7" t="s">
        <v>180</v>
      </c>
      <c r="F14" s="7">
        <v>0.145</v>
      </c>
      <c r="G14" s="7">
        <v>0.134</v>
      </c>
      <c r="H14" s="7" t="s">
        <v>37</v>
      </c>
      <c r="I14" s="7" t="s">
        <v>38</v>
      </c>
      <c r="J14" s="7" t="s">
        <v>324</v>
      </c>
      <c r="K14" s="8">
        <f>F14*1.06</f>
      </c>
      <c r="L14" s="9">
        <v>114.5822</v>
      </c>
      <c r="M14" s="10">
        <v>239</v>
      </c>
      <c r="N14" s="10">
        <v>369</v>
      </c>
      <c r="O14" s="11">
        <f>IFERROR((N14-M14)*K14,0)</f>
      </c>
      <c r="P14" s="10">
        <v>154</v>
      </c>
      <c r="Q14" s="10">
        <v>239</v>
      </c>
      <c r="R14" s="10">
        <v>369</v>
      </c>
      <c r="S14" s="8">
        <f>IFERROR((P14/Q14)*R14,0)</f>
      </c>
      <c r="T14" s="8">
        <f>IFERROR((S14-P14)*((F14-G14)*0.8),0)</f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311</v>
      </c>
      <c r="D15" s="15" t="s">
        <v>241</v>
      </c>
      <c r="E15" s="15" t="s">
        <v>242</v>
      </c>
      <c r="F15" s="15">
        <v>0.3</v>
      </c>
      <c r="G15" s="15">
        <v>0.24</v>
      </c>
      <c r="H15" s="15" t="s">
        <v>37</v>
      </c>
      <c r="I15" s="15" t="s">
        <v>71</v>
      </c>
      <c r="J15" s="15" t="s">
        <v>325</v>
      </c>
      <c r="K15" s="16">
        <f>F15*1.06</f>
      </c>
      <c r="L15" s="17">
        <v>165.8421</v>
      </c>
      <c r="M15" s="18">
        <v>231</v>
      </c>
      <c r="N15" s="18">
        <v>377</v>
      </c>
      <c r="O15" s="19">
        <f>IFERROR((N15-M15)*K15,0)</f>
      </c>
      <c r="P15" s="18">
        <v>154</v>
      </c>
      <c r="Q15" s="18">
        <v>239</v>
      </c>
      <c r="R15" s="18">
        <v>369</v>
      </c>
      <c r="S15" s="16">
        <f>IFERROR((P15/Q15)*R15,0)</f>
      </c>
      <c r="T15" s="16">
        <f>IFERROR((S15-P15)*((F15-G15)*0.8),0)</f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311</v>
      </c>
      <c r="D16" s="7" t="s">
        <v>211</v>
      </c>
      <c r="E16" s="7" t="s">
        <v>212</v>
      </c>
      <c r="F16" s="7">
        <v>1.25</v>
      </c>
      <c r="G16" s="7">
        <v>1.16</v>
      </c>
      <c r="H16" s="7" t="s">
        <v>37</v>
      </c>
      <c r="I16" s="7" t="s">
        <v>71</v>
      </c>
      <c r="J16" s="7" t="s">
        <v>326</v>
      </c>
      <c r="K16" s="8">
        <f>F16*1.06</f>
      </c>
      <c r="L16" s="9">
        <v>786.7743</v>
      </c>
      <c r="M16" s="10">
        <v>231</v>
      </c>
      <c r="N16" s="10">
        <v>377</v>
      </c>
      <c r="O16" s="11">
        <f>IFERROR((N16-M16)*K16,0)</f>
      </c>
      <c r="P16" s="10">
        <v>154</v>
      </c>
      <c r="Q16" s="10">
        <v>239</v>
      </c>
      <c r="R16" s="10">
        <v>369</v>
      </c>
      <c r="S16" s="8">
        <f>IFERROR((P16/Q16)*R16,0)</f>
      </c>
      <c r="T16" s="8">
        <f>IFERROR((S16-P16)*((F16-G16)*0.8),0)</f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311</v>
      </c>
      <c r="D17" s="15" t="s">
        <v>327</v>
      </c>
      <c r="E17" s="15" t="s">
        <v>328</v>
      </c>
      <c r="F17" s="15">
        <v>0.435</v>
      </c>
      <c r="G17" s="15">
        <v>0.375</v>
      </c>
      <c r="H17" s="15" t="s">
        <v>37</v>
      </c>
      <c r="I17" s="15" t="s">
        <v>71</v>
      </c>
      <c r="J17" s="15" t="s">
        <v>329</v>
      </c>
      <c r="K17" s="16">
        <f>F17*1.06</f>
      </c>
      <c r="L17" s="17">
        <v>220.7508</v>
      </c>
      <c r="M17" s="18">
        <v>231</v>
      </c>
      <c r="N17" s="18">
        <v>377</v>
      </c>
      <c r="O17" s="19">
        <f>IFERROR((N17-M17)*K17,0)</f>
      </c>
      <c r="P17" s="18">
        <v>154</v>
      </c>
      <c r="Q17" s="18">
        <v>239</v>
      </c>
      <c r="R17" s="18">
        <v>369</v>
      </c>
      <c r="S17" s="16">
        <f>IFERROR((P17/Q17)*R17,0)</f>
      </c>
      <c r="T17" s="16">
        <f>IFERROR((S17-P17)*((F17-G17)*0.8),0)</f>
      </c>
      <c r="U17" s="20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311</v>
      </c>
      <c r="D18" s="7" t="s">
        <v>113</v>
      </c>
      <c r="E18" s="7" t="s">
        <v>114</v>
      </c>
      <c r="F18" s="7">
        <v>1.25</v>
      </c>
      <c r="G18" s="7">
        <v>1.25</v>
      </c>
      <c r="H18" s="7" t="s">
        <v>37</v>
      </c>
      <c r="I18" s="7" t="s">
        <v>71</v>
      </c>
      <c r="J18" s="7" t="s">
        <v>330</v>
      </c>
      <c r="K18" s="8">
        <f>F18*1.06</f>
      </c>
      <c r="L18" s="9">
        <v>483.4828</v>
      </c>
      <c r="M18" s="10">
        <v>231</v>
      </c>
      <c r="N18" s="10">
        <v>377</v>
      </c>
      <c r="O18" s="11">
        <f>IFERROR((N18-M18)*K18,0)</f>
      </c>
      <c r="P18" s="23" t="s">
        <v>85</v>
      </c>
      <c r="Q18" s="23" t="s">
        <v>85</v>
      </c>
      <c r="R18" s="23" t="s">
        <v>85</v>
      </c>
      <c r="S18" s="23" t="s">
        <v>85</v>
      </c>
      <c r="T18" s="8">
        <v>0</v>
      </c>
      <c r="U18" s="12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311</v>
      </c>
      <c r="D19" s="15" t="s">
        <v>331</v>
      </c>
      <c r="E19" s="15" t="s">
        <v>332</v>
      </c>
      <c r="F19" s="15">
        <v>0.913</v>
      </c>
      <c r="G19" s="15">
        <v>0.913</v>
      </c>
      <c r="H19" s="15" t="s">
        <v>37</v>
      </c>
      <c r="I19" s="15" t="s">
        <v>38</v>
      </c>
      <c r="J19" s="15" t="s">
        <v>333</v>
      </c>
      <c r="K19" s="16">
        <f>F19*1.06</f>
      </c>
      <c r="L19" s="17">
        <v>362.1574</v>
      </c>
      <c r="M19" s="18">
        <v>239</v>
      </c>
      <c r="N19" s="18">
        <v>369</v>
      </c>
      <c r="O19" s="19">
        <f>IFERROR((N19-M19)*K19,0)</f>
      </c>
      <c r="P19" s="24" t="s">
        <v>85</v>
      </c>
      <c r="Q19" s="24" t="s">
        <v>85</v>
      </c>
      <c r="R19" s="24" t="s">
        <v>85</v>
      </c>
      <c r="S19" s="24" t="s">
        <v>85</v>
      </c>
      <c r="T19" s="16">
        <v>0</v>
      </c>
      <c r="U19" s="20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311</v>
      </c>
      <c r="D20" s="7" t="s">
        <v>334</v>
      </c>
      <c r="E20" s="7" t="s">
        <v>335</v>
      </c>
      <c r="F20" s="7">
        <v>0.913</v>
      </c>
      <c r="G20" s="7">
        <v>0.866</v>
      </c>
      <c r="H20" s="7" t="s">
        <v>37</v>
      </c>
      <c r="I20" s="7" t="s">
        <v>38</v>
      </c>
      <c r="J20" s="7" t="s">
        <v>336</v>
      </c>
      <c r="K20" s="8">
        <f>F20*1.06</f>
      </c>
      <c r="L20" s="9">
        <v>425.9995</v>
      </c>
      <c r="M20" s="10">
        <v>239</v>
      </c>
      <c r="N20" s="10">
        <v>369</v>
      </c>
      <c r="O20" s="11">
        <f>IFERROR((N20-M20)*K20,0)</f>
      </c>
      <c r="P20" s="10">
        <v>154</v>
      </c>
      <c r="Q20" s="10">
        <v>239</v>
      </c>
      <c r="R20" s="10">
        <v>369</v>
      </c>
      <c r="S20" s="8">
        <f>IFERROR((P20/Q20)*R20,0)</f>
      </c>
      <c r="T20" s="8">
        <f>IFERROR((S20-P20)*((F20-G20)*0.8),0)</f>
      </c>
      <c r="U20" s="12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311</v>
      </c>
      <c r="D21" s="15" t="s">
        <v>182</v>
      </c>
      <c r="E21" s="15" t="s">
        <v>183</v>
      </c>
      <c r="F21" s="15">
        <v>0.435</v>
      </c>
      <c r="G21" s="15">
        <v>0.425</v>
      </c>
      <c r="H21" s="15" t="s">
        <v>37</v>
      </c>
      <c r="I21" s="15" t="s">
        <v>38</v>
      </c>
      <c r="J21" s="15" t="s">
        <v>337</v>
      </c>
      <c r="K21" s="16">
        <f>F21*1.06</f>
      </c>
      <c r="L21" s="17">
        <v>220.9709</v>
      </c>
      <c r="M21" s="18">
        <v>239</v>
      </c>
      <c r="N21" s="18">
        <v>369</v>
      </c>
      <c r="O21" s="19">
        <f>IFERROR((N21-M21)*K21,0)</f>
      </c>
      <c r="P21" s="18">
        <v>154</v>
      </c>
      <c r="Q21" s="18">
        <v>239</v>
      </c>
      <c r="R21" s="18">
        <v>369</v>
      </c>
      <c r="S21" s="16">
        <f>IFERROR((P21/Q21)*R21,0)</f>
      </c>
      <c r="T21" s="16">
        <f>IFERROR((S21-P21)*((F21-G21)*0.8),0)</f>
      </c>
      <c r="U21" s="20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311</v>
      </c>
      <c r="D22" s="7" t="s">
        <v>246</v>
      </c>
      <c r="E22" s="7" t="s">
        <v>242</v>
      </c>
      <c r="F22" s="7">
        <v>0.287</v>
      </c>
      <c r="G22" s="7">
        <v>0.252</v>
      </c>
      <c r="H22" s="7" t="s">
        <v>37</v>
      </c>
      <c r="I22" s="7" t="s">
        <v>71</v>
      </c>
      <c r="J22" s="7" t="s">
        <v>338</v>
      </c>
      <c r="K22" s="8">
        <f>F22*1.06</f>
      </c>
      <c r="L22" s="9">
        <v>159.6908</v>
      </c>
      <c r="M22" s="10">
        <v>231</v>
      </c>
      <c r="N22" s="10">
        <v>377</v>
      </c>
      <c r="O22" s="11">
        <f>IFERROR((N22-M22)*K22,0)</f>
      </c>
      <c r="P22" s="10">
        <v>154</v>
      </c>
      <c r="Q22" s="10">
        <v>239</v>
      </c>
      <c r="R22" s="10">
        <v>369</v>
      </c>
      <c r="S22" s="8">
        <f>IFERROR((P22/Q22)*R22,0)</f>
      </c>
      <c r="T22" s="8">
        <f>IFERROR((S22-P22)*((F22-G22)*0.8),0)</f>
      </c>
      <c r="U22" s="12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311</v>
      </c>
      <c r="D23" s="15" t="s">
        <v>244</v>
      </c>
      <c r="E23" s="15" t="s">
        <v>242</v>
      </c>
      <c r="F23" s="15">
        <v>0.304</v>
      </c>
      <c r="G23" s="15">
        <v>0.264</v>
      </c>
      <c r="H23" s="15" t="s">
        <v>37</v>
      </c>
      <c r="I23" s="15" t="s">
        <v>71</v>
      </c>
      <c r="J23" s="15" t="s">
        <v>339</v>
      </c>
      <c r="K23" s="16">
        <f>F23*1.06</f>
      </c>
      <c r="L23" s="17">
        <v>159.5942</v>
      </c>
      <c r="M23" s="18">
        <v>231</v>
      </c>
      <c r="N23" s="18">
        <v>377</v>
      </c>
      <c r="O23" s="19">
        <f>IFERROR((N23-M23)*K23,0)</f>
      </c>
      <c r="P23" s="18">
        <v>154</v>
      </c>
      <c r="Q23" s="18">
        <v>239</v>
      </c>
      <c r="R23" s="18">
        <v>369</v>
      </c>
      <c r="S23" s="16">
        <f>IFERROR((P23/Q23)*R23,0)</f>
      </c>
      <c r="T23" s="16">
        <f>IFERROR((S23-P23)*((F23-G23)*0.8),0)</f>
      </c>
      <c r="U23" s="20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311</v>
      </c>
      <c r="D24" s="7" t="s">
        <v>340</v>
      </c>
      <c r="E24" s="7" t="s">
        <v>242</v>
      </c>
      <c r="F24" s="7">
        <v>0.287</v>
      </c>
      <c r="G24" s="7">
        <v>0.247</v>
      </c>
      <c r="H24" s="7" t="s">
        <v>37</v>
      </c>
      <c r="I24" s="7" t="s">
        <v>71</v>
      </c>
      <c r="J24" s="7" t="s">
        <v>341</v>
      </c>
      <c r="K24" s="8">
        <f>F24*1.06</f>
      </c>
      <c r="L24" s="9">
        <v>158.1942</v>
      </c>
      <c r="M24" s="10">
        <v>231</v>
      </c>
      <c r="N24" s="10">
        <v>377</v>
      </c>
      <c r="O24" s="11">
        <f>IFERROR((N24-M24)*K24,0)</f>
      </c>
      <c r="P24" s="10">
        <v>154</v>
      </c>
      <c r="Q24" s="10">
        <v>239</v>
      </c>
      <c r="R24" s="10">
        <v>369</v>
      </c>
      <c r="S24" s="8">
        <f>IFERROR((P24/Q24)*R24,0)</f>
      </c>
      <c r="T24" s="8">
        <f>IFERROR((S24-P24)*((F24-G24)*0.8),0)</f>
      </c>
      <c r="U24" s="12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311</v>
      </c>
      <c r="D25" s="15" t="s">
        <v>342</v>
      </c>
      <c r="E25" s="15" t="s">
        <v>343</v>
      </c>
      <c r="F25" s="15">
        <v>0.193</v>
      </c>
      <c r="G25" s="15">
        <v>0.169</v>
      </c>
      <c r="H25" s="15" t="s">
        <v>37</v>
      </c>
      <c r="I25" s="15" t="s">
        <v>71</v>
      </c>
      <c r="J25" s="15" t="s">
        <v>344</v>
      </c>
      <c r="K25" s="16">
        <f>F25*1.06</f>
      </c>
      <c r="L25" s="17">
        <v>98.6954</v>
      </c>
      <c r="M25" s="18">
        <v>231</v>
      </c>
      <c r="N25" s="18">
        <v>377</v>
      </c>
      <c r="O25" s="19">
        <f>IFERROR((N25-M25)*K25,0)</f>
      </c>
      <c r="P25" s="18">
        <v>154</v>
      </c>
      <c r="Q25" s="18">
        <v>239</v>
      </c>
      <c r="R25" s="18">
        <v>369</v>
      </c>
      <c r="S25" s="16">
        <f>IFERROR((P25/Q25)*R25,0)</f>
      </c>
      <c r="T25" s="16">
        <f>IFERROR((S25-P25)*((F25-G25)*0.8),0)</f>
      </c>
      <c r="U25" s="20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311</v>
      </c>
      <c r="D26" s="7" t="s">
        <v>345</v>
      </c>
      <c r="E26" s="7" t="s">
        <v>346</v>
      </c>
      <c r="F26" s="7">
        <v>0.454</v>
      </c>
      <c r="G26" s="7">
        <v>0.442</v>
      </c>
      <c r="H26" s="7" t="s">
        <v>37</v>
      </c>
      <c r="I26" s="7" t="s">
        <v>38</v>
      </c>
      <c r="J26" s="7" t="s">
        <v>347</v>
      </c>
      <c r="K26" s="8">
        <f>F26*1.06</f>
      </c>
      <c r="L26" s="9">
        <v>232.1915</v>
      </c>
      <c r="M26" s="10">
        <v>239</v>
      </c>
      <c r="N26" s="10">
        <v>369</v>
      </c>
      <c r="O26" s="11">
        <f>IFERROR((N26-M26)*K26,0)</f>
      </c>
      <c r="P26" s="10">
        <v>154</v>
      </c>
      <c r="Q26" s="10">
        <v>239</v>
      </c>
      <c r="R26" s="10">
        <v>369</v>
      </c>
      <c r="S26" s="8">
        <f>IFERROR((P26/Q26)*R26,0)</f>
      </c>
      <c r="T26" s="8">
        <f>IFERROR((S26-P26)*((F26-G26)*0.8),0)</f>
      </c>
      <c r="U26" s="12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311</v>
      </c>
      <c r="D27" s="15" t="s">
        <v>279</v>
      </c>
      <c r="E27" s="15" t="s">
        <v>280</v>
      </c>
      <c r="F27" s="15">
        <v>0.052</v>
      </c>
      <c r="G27" s="15">
        <v>0.052</v>
      </c>
      <c r="H27" s="15" t="s">
        <v>37</v>
      </c>
      <c r="I27" s="15" t="s">
        <v>38</v>
      </c>
      <c r="J27" s="15" t="s">
        <v>348</v>
      </c>
      <c r="K27" s="16">
        <f>F27*1.06</f>
      </c>
      <c r="L27" s="17">
        <v>42.0389</v>
      </c>
      <c r="M27" s="18">
        <v>239</v>
      </c>
      <c r="N27" s="18">
        <v>369</v>
      </c>
      <c r="O27" s="19">
        <f>IFERROR((N27-M27)*K27,0)</f>
      </c>
      <c r="P27" s="24" t="s">
        <v>85</v>
      </c>
      <c r="Q27" s="24" t="s">
        <v>85</v>
      </c>
      <c r="R27" s="24" t="s">
        <v>85</v>
      </c>
      <c r="S27" s="24" t="s">
        <v>85</v>
      </c>
      <c r="T27" s="16">
        <v>0</v>
      </c>
      <c r="U27" s="20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311</v>
      </c>
      <c r="D28" s="7" t="s">
        <v>349</v>
      </c>
      <c r="E28" s="7" t="s">
        <v>328</v>
      </c>
      <c r="F28" s="7">
        <v>0.145</v>
      </c>
      <c r="G28" s="7">
        <v>0.145</v>
      </c>
      <c r="H28" s="7" t="s">
        <v>37</v>
      </c>
      <c r="I28" s="7" t="s">
        <v>38</v>
      </c>
      <c r="J28" s="7" t="s">
        <v>350</v>
      </c>
      <c r="K28" s="8">
        <f>F28*1.06</f>
      </c>
      <c r="L28" s="9">
        <v>77.4747</v>
      </c>
      <c r="M28" s="10">
        <v>239</v>
      </c>
      <c r="N28" s="10">
        <v>369</v>
      </c>
      <c r="O28" s="11">
        <f>IFERROR((N28-M28)*K28,0)</f>
      </c>
      <c r="P28" s="23" t="s">
        <v>85</v>
      </c>
      <c r="Q28" s="23" t="s">
        <v>85</v>
      </c>
      <c r="R28" s="23" t="s">
        <v>85</v>
      </c>
      <c r="S28" s="23" t="s">
        <v>85</v>
      </c>
      <c r="T28" s="8">
        <v>0</v>
      </c>
      <c r="U28" s="12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311</v>
      </c>
      <c r="D29" s="15" t="s">
        <v>198</v>
      </c>
      <c r="E29" s="15" t="s">
        <v>199</v>
      </c>
      <c r="F29" s="15">
        <v>0.164</v>
      </c>
      <c r="G29" s="15">
        <v>0.1</v>
      </c>
      <c r="H29" s="15" t="s">
        <v>37</v>
      </c>
      <c r="I29" s="15" t="s">
        <v>38</v>
      </c>
      <c r="J29" s="15" t="s">
        <v>351</v>
      </c>
      <c r="K29" s="16">
        <f>F29*1.06</f>
      </c>
      <c r="L29" s="17">
        <v>92.2184</v>
      </c>
      <c r="M29" s="18">
        <v>239</v>
      </c>
      <c r="N29" s="18">
        <v>369</v>
      </c>
      <c r="O29" s="19">
        <f>IFERROR((N29-M29)*K29,0)</f>
      </c>
      <c r="P29" s="18">
        <v>154</v>
      </c>
      <c r="Q29" s="18">
        <v>239</v>
      </c>
      <c r="R29" s="18">
        <v>369</v>
      </c>
      <c r="S29" s="16">
        <f>IFERROR((P29/Q29)*R29,0)</f>
      </c>
      <c r="T29" s="16">
        <f>IFERROR((S29-P29)*((F29-G29)*0.8),0)</f>
      </c>
      <c r="U29" s="20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311</v>
      </c>
      <c r="D30" s="7" t="s">
        <v>220</v>
      </c>
      <c r="E30" s="7" t="s">
        <v>221</v>
      </c>
      <c r="F30" s="7">
        <v>0.168</v>
      </c>
      <c r="G30" s="7">
        <v>0.163</v>
      </c>
      <c r="H30" s="7" t="s">
        <v>37</v>
      </c>
      <c r="I30" s="7" t="s">
        <v>38</v>
      </c>
      <c r="J30" s="7" t="s">
        <v>352</v>
      </c>
      <c r="K30" s="8">
        <f>F30*1.06</f>
      </c>
      <c r="L30" s="9">
        <v>177.444</v>
      </c>
      <c r="M30" s="10">
        <v>239</v>
      </c>
      <c r="N30" s="10">
        <v>369</v>
      </c>
      <c r="O30" s="11">
        <f>IFERROR((N30-M30)*K30,0)</f>
      </c>
      <c r="P30" s="10">
        <v>154</v>
      </c>
      <c r="Q30" s="10">
        <v>239</v>
      </c>
      <c r="R30" s="10">
        <v>369</v>
      </c>
      <c r="S30" s="8">
        <f>IFERROR((P30/Q30)*R30,0)</f>
      </c>
      <c r="T30" s="8">
        <f>IFERROR((S30-P30)*((F30-G30)*0.8),0)</f>
      </c>
      <c r="U30" s="12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311</v>
      </c>
      <c r="D31" s="15" t="s">
        <v>173</v>
      </c>
      <c r="E31" s="15" t="s">
        <v>174</v>
      </c>
      <c r="F31" s="15">
        <v>0.671</v>
      </c>
      <c r="G31" s="15">
        <v>0.622</v>
      </c>
      <c r="H31" s="15" t="s">
        <v>37</v>
      </c>
      <c r="I31" s="15" t="s">
        <v>71</v>
      </c>
      <c r="J31" s="15" t="s">
        <v>353</v>
      </c>
      <c r="K31" s="16">
        <f>F31*1.06</f>
      </c>
      <c r="L31" s="17">
        <v>462.8317</v>
      </c>
      <c r="M31" s="18">
        <v>231</v>
      </c>
      <c r="N31" s="18">
        <v>377</v>
      </c>
      <c r="O31" s="19">
        <f>IFERROR((N31-M31)*K31,0)</f>
      </c>
      <c r="P31" s="18">
        <v>154</v>
      </c>
      <c r="Q31" s="18">
        <v>239</v>
      </c>
      <c r="R31" s="18">
        <v>369</v>
      </c>
      <c r="S31" s="16">
        <f>IFERROR((P31/Q31)*R31,0)</f>
      </c>
      <c r="T31" s="16">
        <f>IFERROR((S31-P31)*((F31-G31)*0.8),0)</f>
      </c>
      <c r="U31" s="20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311</v>
      </c>
      <c r="D32" s="7" t="s">
        <v>354</v>
      </c>
      <c r="E32" s="7" t="s">
        <v>82</v>
      </c>
      <c r="F32" s="7">
        <v>0.1</v>
      </c>
      <c r="G32" s="7">
        <v>0.094</v>
      </c>
      <c r="H32" s="7" t="s">
        <v>37</v>
      </c>
      <c r="I32" s="7" t="s">
        <v>38</v>
      </c>
      <c r="J32" s="7" t="s">
        <v>355</v>
      </c>
      <c r="K32" s="8">
        <f>F32*1.06</f>
      </c>
      <c r="L32" s="9">
        <v>74.4111</v>
      </c>
      <c r="M32" s="10">
        <v>239</v>
      </c>
      <c r="N32" s="10">
        <v>369</v>
      </c>
      <c r="O32" s="11">
        <f>IFERROR((N32-M32)*K32,0)</f>
      </c>
      <c r="P32" s="10">
        <v>154</v>
      </c>
      <c r="Q32" s="10">
        <v>239</v>
      </c>
      <c r="R32" s="10">
        <v>369</v>
      </c>
      <c r="S32" s="8">
        <f>IFERROR((P32/Q32)*R32,0)</f>
      </c>
      <c r="T32" s="8">
        <f>IFERROR((S32-P32)*((F32-G32)*0.8),0)</f>
      </c>
      <c r="U32" s="12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311</v>
      </c>
      <c r="D33" s="15" t="s">
        <v>356</v>
      </c>
      <c r="E33" s="15" t="s">
        <v>357</v>
      </c>
      <c r="F33" s="15">
        <v>0.762</v>
      </c>
      <c r="G33" s="15">
        <v>0.735</v>
      </c>
      <c r="H33" s="15" t="s">
        <v>54</v>
      </c>
      <c r="I33" s="15" t="s">
        <v>38</v>
      </c>
      <c r="J33" s="15" t="s">
        <v>358</v>
      </c>
      <c r="K33" s="16">
        <f>F33*1.06</f>
      </c>
      <c r="L33" s="17">
        <v>361.2262</v>
      </c>
      <c r="M33" s="18">
        <v>239</v>
      </c>
      <c r="N33" s="18">
        <v>369</v>
      </c>
      <c r="O33" s="19">
        <f>IFERROR((N33-M33)*K33,0)</f>
      </c>
      <c r="P33" s="18">
        <v>154</v>
      </c>
      <c r="Q33" s="18">
        <v>239</v>
      </c>
      <c r="R33" s="18">
        <v>369</v>
      </c>
      <c r="S33" s="16">
        <f>IFERROR((P33/Q33)*R33,0)</f>
      </c>
      <c r="T33" s="16">
        <f>IFERROR((S33-P33)*((F33-G33)*0.8),0)</f>
      </c>
      <c r="U33" s="20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311</v>
      </c>
      <c r="D34" s="7" t="s">
        <v>136</v>
      </c>
      <c r="E34" s="7" t="s">
        <v>137</v>
      </c>
      <c r="F34" s="7">
        <v>0.254</v>
      </c>
      <c r="G34" s="7">
        <v>0.254</v>
      </c>
      <c r="H34" s="7" t="s">
        <v>54</v>
      </c>
      <c r="I34" s="7" t="s">
        <v>38</v>
      </c>
      <c r="J34" s="7" t="s">
        <v>359</v>
      </c>
      <c r="K34" s="8">
        <f>F34*1.06</f>
      </c>
      <c r="L34" s="9">
        <v>114.4692</v>
      </c>
      <c r="M34" s="10">
        <v>239</v>
      </c>
      <c r="N34" s="10">
        <v>369</v>
      </c>
      <c r="O34" s="11">
        <f>IFERROR((N34-M34)*K34,0)</f>
      </c>
      <c r="P34" s="23" t="s">
        <v>85</v>
      </c>
      <c r="Q34" s="23" t="s">
        <v>85</v>
      </c>
      <c r="R34" s="23" t="s">
        <v>85</v>
      </c>
      <c r="S34" s="23" t="s">
        <v>85</v>
      </c>
      <c r="T34" s="8">
        <v>0</v>
      </c>
      <c r="U34" s="12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311</v>
      </c>
      <c r="D35" s="15" t="s">
        <v>65</v>
      </c>
      <c r="E35" s="15" t="s">
        <v>66</v>
      </c>
      <c r="F35" s="15">
        <v>0.077</v>
      </c>
      <c r="G35" s="15">
        <v>0.069</v>
      </c>
      <c r="H35" s="15" t="s">
        <v>60</v>
      </c>
      <c r="I35" s="15" t="s">
        <v>38</v>
      </c>
      <c r="J35" s="15" t="s">
        <v>360</v>
      </c>
      <c r="K35" s="16">
        <f>F35*1.06</f>
      </c>
      <c r="L35" s="17">
        <v>71.9566</v>
      </c>
      <c r="M35" s="18">
        <v>239</v>
      </c>
      <c r="N35" s="18">
        <v>369</v>
      </c>
      <c r="O35" s="19">
        <f>IFERROR((N35-M35)*K35,0)</f>
      </c>
      <c r="P35" s="18">
        <v>154</v>
      </c>
      <c r="Q35" s="18">
        <v>239</v>
      </c>
      <c r="R35" s="18">
        <v>369</v>
      </c>
      <c r="S35" s="16">
        <f>IFERROR((P35/Q35)*R35,0)</f>
      </c>
      <c r="T35" s="16">
        <f>IFERROR((S35-P35)*((F35-G35)*0.8),0)</f>
      </c>
      <c r="U35" s="20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311</v>
      </c>
      <c r="D36" s="7" t="s">
        <v>62</v>
      </c>
      <c r="E36" s="7" t="s">
        <v>63</v>
      </c>
      <c r="F36" s="7">
        <v>0.096</v>
      </c>
      <c r="G36" s="7">
        <v>0.084</v>
      </c>
      <c r="H36" s="7" t="s">
        <v>60</v>
      </c>
      <c r="I36" s="7" t="s">
        <v>38</v>
      </c>
      <c r="J36" s="7" t="s">
        <v>361</v>
      </c>
      <c r="K36" s="8">
        <f>F36*1.06</f>
      </c>
      <c r="L36" s="9">
        <v>99.5585</v>
      </c>
      <c r="M36" s="10">
        <v>239</v>
      </c>
      <c r="N36" s="10">
        <v>369</v>
      </c>
      <c r="O36" s="11">
        <f>IFERROR((N36-M36)*K36,0)</f>
      </c>
      <c r="P36" s="10">
        <v>154</v>
      </c>
      <c r="Q36" s="10">
        <v>239</v>
      </c>
      <c r="R36" s="10">
        <v>369</v>
      </c>
      <c r="S36" s="8">
        <f>IFERROR((P36/Q36)*R36,0)</f>
      </c>
      <c r="T36" s="8">
        <f>IFERROR((S36-P36)*((F36-G36)*0.8),0)</f>
      </c>
      <c r="U36" s="12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311</v>
      </c>
      <c r="D37" s="15" t="s">
        <v>334</v>
      </c>
      <c r="E37" s="15" t="s">
        <v>335</v>
      </c>
      <c r="F37" s="15">
        <v>0.913</v>
      </c>
      <c r="G37" s="15">
        <v>0.866</v>
      </c>
      <c r="H37" s="15" t="s">
        <v>60</v>
      </c>
      <c r="I37" s="15" t="s">
        <v>38</v>
      </c>
      <c r="J37" s="15" t="s">
        <v>362</v>
      </c>
      <c r="K37" s="16">
        <f>F37*1.06</f>
      </c>
      <c r="L37" s="17">
        <v>419.8495</v>
      </c>
      <c r="M37" s="18">
        <v>239</v>
      </c>
      <c r="N37" s="18">
        <v>369</v>
      </c>
      <c r="O37" s="19">
        <f>IFERROR((N37-M37)*K37,0)</f>
      </c>
      <c r="P37" s="18">
        <v>154</v>
      </c>
      <c r="Q37" s="18">
        <v>239</v>
      </c>
      <c r="R37" s="18">
        <v>369</v>
      </c>
      <c r="S37" s="16">
        <f>IFERROR((P37/Q37)*R37,0)</f>
      </c>
      <c r="T37" s="16">
        <f>IFERROR((S37-P37)*((F37-G37)*0.8),0)</f>
      </c>
      <c r="U37" s="20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311</v>
      </c>
      <c r="D38" s="7" t="s">
        <v>316</v>
      </c>
      <c r="E38" s="7" t="s">
        <v>317</v>
      </c>
      <c r="F38" s="7">
        <v>0.435</v>
      </c>
      <c r="G38" s="7">
        <v>0.377</v>
      </c>
      <c r="H38" s="7" t="s">
        <v>70</v>
      </c>
      <c r="I38" s="7" t="s">
        <v>71</v>
      </c>
      <c r="J38" s="7" t="s">
        <v>363</v>
      </c>
      <c r="K38" s="8">
        <f>F38*1.06</f>
      </c>
      <c r="L38" s="9">
        <v>218.7795</v>
      </c>
      <c r="M38" s="10">
        <v>231</v>
      </c>
      <c r="N38" s="10">
        <v>377</v>
      </c>
      <c r="O38" s="11">
        <f>IFERROR((N38-M38)*K38,0)</f>
      </c>
      <c r="P38" s="10">
        <v>154</v>
      </c>
      <c r="Q38" s="10">
        <v>239</v>
      </c>
      <c r="R38" s="10">
        <v>369</v>
      </c>
      <c r="S38" s="8">
        <f>IFERROR((P38/Q38)*R38,0)</f>
      </c>
      <c r="T38" s="8">
        <f>IFERROR((S38-P38)*((F38-G38)*0.8),0)</f>
      </c>
      <c r="U38" s="12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311</v>
      </c>
      <c r="D39" s="15" t="s">
        <v>68</v>
      </c>
      <c r="E39" s="15" t="s">
        <v>69</v>
      </c>
      <c r="F39" s="15">
        <v>0.444</v>
      </c>
      <c r="G39" s="15">
        <v>0.386</v>
      </c>
      <c r="H39" s="15" t="s">
        <v>70</v>
      </c>
      <c r="I39" s="15" t="s">
        <v>71</v>
      </c>
      <c r="J39" s="15" t="s">
        <v>364</v>
      </c>
      <c r="K39" s="16">
        <f>F39*1.06</f>
      </c>
      <c r="L39" s="17">
        <v>236.0613</v>
      </c>
      <c r="M39" s="18">
        <v>231</v>
      </c>
      <c r="N39" s="18">
        <v>377</v>
      </c>
      <c r="O39" s="19">
        <f>IFERROR((N39-M39)*K39,0)</f>
      </c>
      <c r="P39" s="18">
        <v>154</v>
      </c>
      <c r="Q39" s="18">
        <v>239</v>
      </c>
      <c r="R39" s="18">
        <v>369</v>
      </c>
      <c r="S39" s="16">
        <f>IFERROR((P39/Q39)*R39,0)</f>
      </c>
      <c r="T39" s="16">
        <f>IFERROR((S39-P39)*((F39-G39)*0.8),0)</f>
      </c>
      <c r="U39" s="20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311</v>
      </c>
      <c r="D40" s="7" t="s">
        <v>327</v>
      </c>
      <c r="E40" s="7" t="s">
        <v>328</v>
      </c>
      <c r="F40" s="7">
        <v>0.435</v>
      </c>
      <c r="G40" s="7">
        <v>0.375</v>
      </c>
      <c r="H40" s="7" t="s">
        <v>70</v>
      </c>
      <c r="I40" s="7" t="s">
        <v>71</v>
      </c>
      <c r="J40" s="7" t="s">
        <v>365</v>
      </c>
      <c r="K40" s="8">
        <f>F40*1.06</f>
      </c>
      <c r="L40" s="9">
        <v>225.6708</v>
      </c>
      <c r="M40" s="10">
        <v>231</v>
      </c>
      <c r="N40" s="10">
        <v>377</v>
      </c>
      <c r="O40" s="11">
        <f>IFERROR((N40-M40)*K40,0)</f>
      </c>
      <c r="P40" s="10">
        <v>154</v>
      </c>
      <c r="Q40" s="10">
        <v>239</v>
      </c>
      <c r="R40" s="10">
        <v>369</v>
      </c>
      <c r="S40" s="8">
        <f>IFERROR((P40/Q40)*R40,0)</f>
      </c>
      <c r="T40" s="8">
        <f>IFERROR((S40-P40)*((F40-G40)*0.8),0)</f>
      </c>
      <c r="U40" s="12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311</v>
      </c>
      <c r="D41" s="15" t="s">
        <v>65</v>
      </c>
      <c r="E41" s="15" t="s">
        <v>66</v>
      </c>
      <c r="F41" s="15">
        <v>0.077</v>
      </c>
      <c r="G41" s="15">
        <v>0.069</v>
      </c>
      <c r="H41" s="15" t="s">
        <v>70</v>
      </c>
      <c r="I41" s="15" t="s">
        <v>38</v>
      </c>
      <c r="J41" s="15" t="s">
        <v>366</v>
      </c>
      <c r="K41" s="16">
        <f>F41*1.06</f>
      </c>
      <c r="L41" s="17">
        <v>70.7566</v>
      </c>
      <c r="M41" s="18">
        <v>239</v>
      </c>
      <c r="N41" s="18">
        <v>369</v>
      </c>
      <c r="O41" s="19">
        <f>IFERROR((N41-M41)*K41,0)</f>
      </c>
      <c r="P41" s="18">
        <v>154</v>
      </c>
      <c r="Q41" s="18">
        <v>239</v>
      </c>
      <c r="R41" s="18">
        <v>369</v>
      </c>
      <c r="S41" s="16">
        <f>IFERROR((P41/Q41)*R41,0)</f>
      </c>
      <c r="T41" s="16">
        <f>IFERROR((S41-P41)*((F41-G41)*0.8),0)</f>
      </c>
      <c r="U41" s="20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311</v>
      </c>
      <c r="D42" s="7" t="s">
        <v>62</v>
      </c>
      <c r="E42" s="7" t="s">
        <v>63</v>
      </c>
      <c r="F42" s="7">
        <v>0.096</v>
      </c>
      <c r="G42" s="7">
        <v>0.084</v>
      </c>
      <c r="H42" s="7" t="s">
        <v>70</v>
      </c>
      <c r="I42" s="7" t="s">
        <v>38</v>
      </c>
      <c r="J42" s="7" t="s">
        <v>367</v>
      </c>
      <c r="K42" s="8">
        <f>F42*1.06</f>
      </c>
      <c r="L42" s="9">
        <v>96.0585</v>
      </c>
      <c r="M42" s="10">
        <v>239</v>
      </c>
      <c r="N42" s="10">
        <v>369</v>
      </c>
      <c r="O42" s="11">
        <f>IFERROR((N42-M42)*K42,0)</f>
      </c>
      <c r="P42" s="10">
        <v>154</v>
      </c>
      <c r="Q42" s="10">
        <v>239</v>
      </c>
      <c r="R42" s="10">
        <v>369</v>
      </c>
      <c r="S42" s="8">
        <f>IFERROR((P42/Q42)*R42,0)</f>
      </c>
      <c r="T42" s="8">
        <f>IFERROR((S42-P42)*((F42-G42)*0.8),0)</f>
      </c>
      <c r="U42" s="12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311</v>
      </c>
      <c r="D43" s="15" t="s">
        <v>368</v>
      </c>
      <c r="E43" s="15" t="s">
        <v>369</v>
      </c>
      <c r="F43" s="15">
        <v>0.361</v>
      </c>
      <c r="G43" s="15">
        <v>0.321</v>
      </c>
      <c r="H43" s="15" t="s">
        <v>70</v>
      </c>
      <c r="I43" s="15" t="s">
        <v>38</v>
      </c>
      <c r="J43" s="15" t="s">
        <v>370</v>
      </c>
      <c r="K43" s="16">
        <f>F43*1.06</f>
      </c>
      <c r="L43" s="17">
        <v>171.2628</v>
      </c>
      <c r="M43" s="18">
        <v>239</v>
      </c>
      <c r="N43" s="18">
        <v>369</v>
      </c>
      <c r="O43" s="19">
        <f>IFERROR((N43-M43)*K43,0)</f>
      </c>
      <c r="P43" s="18">
        <v>154</v>
      </c>
      <c r="Q43" s="18">
        <v>239</v>
      </c>
      <c r="R43" s="18">
        <v>369</v>
      </c>
      <c r="S43" s="16">
        <f>IFERROR((P43/Q43)*R43,0)</f>
      </c>
      <c r="T43" s="16">
        <f>IFERROR((S43-P43)*((F43-G43)*0.8),0)</f>
      </c>
      <c r="U43" s="20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311</v>
      </c>
      <c r="D44" s="7" t="s">
        <v>119</v>
      </c>
      <c r="E44" s="7" t="s">
        <v>120</v>
      </c>
      <c r="F44" s="7">
        <v>0.361</v>
      </c>
      <c r="G44" s="7">
        <v>0.321</v>
      </c>
      <c r="H44" s="7" t="s">
        <v>70</v>
      </c>
      <c r="I44" s="7" t="s">
        <v>38</v>
      </c>
      <c r="J44" s="7" t="s">
        <v>371</v>
      </c>
      <c r="K44" s="8">
        <f>F44*1.06</f>
      </c>
      <c r="L44" s="9">
        <v>168.7928</v>
      </c>
      <c r="M44" s="10">
        <v>239</v>
      </c>
      <c r="N44" s="10">
        <v>369</v>
      </c>
      <c r="O44" s="11">
        <f>IFERROR((N44-M44)*K44,0)</f>
      </c>
      <c r="P44" s="10">
        <v>154</v>
      </c>
      <c r="Q44" s="10">
        <v>239</v>
      </c>
      <c r="R44" s="10">
        <v>369</v>
      </c>
      <c r="S44" s="8">
        <f>IFERROR((P44/Q44)*R44,0)</f>
      </c>
      <c r="T44" s="8">
        <f>IFERROR((S44-P44)*((F44-G44)*0.8),0)</f>
      </c>
      <c r="U44" s="12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311</v>
      </c>
      <c r="D45" s="15" t="s">
        <v>179</v>
      </c>
      <c r="E45" s="15" t="s">
        <v>180</v>
      </c>
      <c r="F45" s="15">
        <v>0.145</v>
      </c>
      <c r="G45" s="15">
        <v>0.134</v>
      </c>
      <c r="H45" s="15" t="s">
        <v>70</v>
      </c>
      <c r="I45" s="15" t="s">
        <v>38</v>
      </c>
      <c r="J45" s="15" t="s">
        <v>372</v>
      </c>
      <c r="K45" s="16">
        <f>F45*1.06</f>
      </c>
      <c r="L45" s="17">
        <v>114.5822</v>
      </c>
      <c r="M45" s="18">
        <v>239</v>
      </c>
      <c r="N45" s="18">
        <v>369</v>
      </c>
      <c r="O45" s="19">
        <f>IFERROR((N45-M45)*K45,0)</f>
      </c>
      <c r="P45" s="18">
        <v>154</v>
      </c>
      <c r="Q45" s="18">
        <v>239</v>
      </c>
      <c r="R45" s="18">
        <v>369</v>
      </c>
      <c r="S45" s="16">
        <f>IFERROR((P45/Q45)*R45,0)</f>
      </c>
      <c r="T45" s="16">
        <f>IFERROR((S45-P45)*((F45-G45)*0.8),0)</f>
      </c>
      <c r="U45" s="20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311</v>
      </c>
      <c r="D46" s="7" t="s">
        <v>279</v>
      </c>
      <c r="E46" s="7" t="s">
        <v>280</v>
      </c>
      <c r="F46" s="7">
        <v>0.052</v>
      </c>
      <c r="G46" s="7">
        <v>0.052</v>
      </c>
      <c r="H46" s="7" t="s">
        <v>70</v>
      </c>
      <c r="I46" s="7" t="s">
        <v>38</v>
      </c>
      <c r="J46" s="7" t="s">
        <v>373</v>
      </c>
      <c r="K46" s="8">
        <f>F46*1.06</f>
      </c>
      <c r="L46" s="9">
        <v>42.0389</v>
      </c>
      <c r="M46" s="10">
        <v>239</v>
      </c>
      <c r="N46" s="10">
        <v>369</v>
      </c>
      <c r="O46" s="11">
        <f>IFERROR((N46-M46)*K46,0)</f>
      </c>
      <c r="P46" s="23" t="s">
        <v>85</v>
      </c>
      <c r="Q46" s="23" t="s">
        <v>85</v>
      </c>
      <c r="R46" s="23" t="s">
        <v>85</v>
      </c>
      <c r="S46" s="23" t="s">
        <v>85</v>
      </c>
      <c r="T46" s="8">
        <v>0</v>
      </c>
      <c r="U46" s="12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311</v>
      </c>
      <c r="D47" s="15" t="s">
        <v>244</v>
      </c>
      <c r="E47" s="15" t="s">
        <v>242</v>
      </c>
      <c r="F47" s="15">
        <v>0.304</v>
      </c>
      <c r="G47" s="15">
        <v>0.264</v>
      </c>
      <c r="H47" s="15" t="s">
        <v>70</v>
      </c>
      <c r="I47" s="15" t="s">
        <v>71</v>
      </c>
      <c r="J47" s="15" t="s">
        <v>374</v>
      </c>
      <c r="K47" s="16">
        <f>F47*1.06</f>
      </c>
      <c r="L47" s="17">
        <v>159.5942</v>
      </c>
      <c r="M47" s="18">
        <v>231</v>
      </c>
      <c r="N47" s="18">
        <v>377</v>
      </c>
      <c r="O47" s="19">
        <f>IFERROR((N47-M47)*K47,0)</f>
      </c>
      <c r="P47" s="18">
        <v>154</v>
      </c>
      <c r="Q47" s="18">
        <v>239</v>
      </c>
      <c r="R47" s="18">
        <v>369</v>
      </c>
      <c r="S47" s="16">
        <f>IFERROR((P47/Q47)*R47,0)</f>
      </c>
      <c r="T47" s="16">
        <f>IFERROR((S47-P47)*((F47-G47)*0.8),0)</f>
      </c>
      <c r="U47" s="20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311</v>
      </c>
      <c r="D48" s="7" t="s">
        <v>342</v>
      </c>
      <c r="E48" s="7" t="s">
        <v>343</v>
      </c>
      <c r="F48" s="7">
        <v>0.193</v>
      </c>
      <c r="G48" s="7">
        <v>0.169</v>
      </c>
      <c r="H48" s="7" t="s">
        <v>70</v>
      </c>
      <c r="I48" s="7" t="s">
        <v>71</v>
      </c>
      <c r="J48" s="7" t="s">
        <v>375</v>
      </c>
      <c r="K48" s="8">
        <f>F48*1.06</f>
      </c>
      <c r="L48" s="9">
        <v>98.6954</v>
      </c>
      <c r="M48" s="10">
        <v>231</v>
      </c>
      <c r="N48" s="10">
        <v>377</v>
      </c>
      <c r="O48" s="11">
        <f>IFERROR((N48-M48)*K48,0)</f>
      </c>
      <c r="P48" s="10">
        <v>154</v>
      </c>
      <c r="Q48" s="10">
        <v>239</v>
      </c>
      <c r="R48" s="10">
        <v>369</v>
      </c>
      <c r="S48" s="8">
        <f>IFERROR((P48/Q48)*R48,0)</f>
      </c>
      <c r="T48" s="8">
        <f>IFERROR((S48-P48)*((F48-G48)*0.8),0)</f>
      </c>
      <c r="U48" s="12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311</v>
      </c>
      <c r="D49" s="15" t="s">
        <v>334</v>
      </c>
      <c r="E49" s="15" t="s">
        <v>335</v>
      </c>
      <c r="F49" s="15">
        <v>0.913</v>
      </c>
      <c r="G49" s="15">
        <v>0.866</v>
      </c>
      <c r="H49" s="15" t="s">
        <v>70</v>
      </c>
      <c r="I49" s="15" t="s">
        <v>38</v>
      </c>
      <c r="J49" s="15" t="s">
        <v>376</v>
      </c>
      <c r="K49" s="16">
        <f>F49*1.06</f>
      </c>
      <c r="L49" s="17">
        <v>418.4495</v>
      </c>
      <c r="M49" s="18">
        <v>239</v>
      </c>
      <c r="N49" s="18">
        <v>369</v>
      </c>
      <c r="O49" s="19">
        <f>IFERROR((N49-M49)*K49,0)</f>
      </c>
      <c r="P49" s="18">
        <v>154</v>
      </c>
      <c r="Q49" s="18">
        <v>239</v>
      </c>
      <c r="R49" s="18">
        <v>369</v>
      </c>
      <c r="S49" s="16">
        <f>IFERROR((P49/Q49)*R49,0)</f>
      </c>
      <c r="T49" s="16">
        <f>IFERROR((S49-P49)*((F49-G49)*0.8),0)</f>
      </c>
      <c r="U49" s="20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311</v>
      </c>
      <c r="D50" s="7" t="s">
        <v>304</v>
      </c>
      <c r="E50" s="7" t="s">
        <v>305</v>
      </c>
      <c r="F50" s="7">
        <v>0.317</v>
      </c>
      <c r="G50" s="7">
        <v>0.272</v>
      </c>
      <c r="H50" s="7" t="s">
        <v>70</v>
      </c>
      <c r="I50" s="7" t="s">
        <v>38</v>
      </c>
      <c r="J50" s="7" t="s">
        <v>377</v>
      </c>
      <c r="K50" s="8">
        <f>F50*1.06</f>
      </c>
      <c r="L50" s="9">
        <v>168.329</v>
      </c>
      <c r="M50" s="10">
        <v>239</v>
      </c>
      <c r="N50" s="10">
        <v>369</v>
      </c>
      <c r="O50" s="11">
        <f>IFERROR((N50-M50)*K50,0)</f>
      </c>
      <c r="P50" s="10">
        <v>154</v>
      </c>
      <c r="Q50" s="10">
        <v>239</v>
      </c>
      <c r="R50" s="10">
        <v>369</v>
      </c>
      <c r="S50" s="8">
        <f>IFERROR((P50/Q50)*R50,0)</f>
      </c>
      <c r="T50" s="8">
        <f>IFERROR((S50-P50)*((F50-G50)*0.8),0)</f>
      </c>
      <c r="U50" s="12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311</v>
      </c>
      <c r="D51" s="15" t="s">
        <v>167</v>
      </c>
      <c r="E51" s="15" t="s">
        <v>82</v>
      </c>
      <c r="F51" s="15">
        <v>0.317</v>
      </c>
      <c r="G51" s="15">
        <v>0.279</v>
      </c>
      <c r="H51" s="15" t="s">
        <v>70</v>
      </c>
      <c r="I51" s="15" t="s">
        <v>38</v>
      </c>
      <c r="J51" s="15" t="s">
        <v>378</v>
      </c>
      <c r="K51" s="16">
        <f>F51*1.06</f>
      </c>
      <c r="L51" s="17">
        <v>172.0178</v>
      </c>
      <c r="M51" s="18">
        <v>239</v>
      </c>
      <c r="N51" s="18">
        <v>369</v>
      </c>
      <c r="O51" s="19">
        <f>IFERROR((N51-M51)*K51,0)</f>
      </c>
      <c r="P51" s="18">
        <v>154</v>
      </c>
      <c r="Q51" s="18">
        <v>239</v>
      </c>
      <c r="R51" s="18">
        <v>369</v>
      </c>
      <c r="S51" s="16">
        <f>IFERROR((P51/Q51)*R51,0)</f>
      </c>
      <c r="T51" s="16">
        <f>IFERROR((S51-P51)*((F51-G51)*0.8),0)</f>
      </c>
      <c r="U51" s="20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311</v>
      </c>
      <c r="D52" s="7" t="s">
        <v>307</v>
      </c>
      <c r="E52" s="7" t="s">
        <v>82</v>
      </c>
      <c r="F52" s="7">
        <v>0.317</v>
      </c>
      <c r="G52" s="7">
        <v>0.279</v>
      </c>
      <c r="H52" s="7" t="s">
        <v>70</v>
      </c>
      <c r="I52" s="7" t="s">
        <v>38</v>
      </c>
      <c r="J52" s="7" t="s">
        <v>379</v>
      </c>
      <c r="K52" s="8">
        <f>F52*1.06</f>
      </c>
      <c r="L52" s="9">
        <v>171.6608</v>
      </c>
      <c r="M52" s="10">
        <v>239</v>
      </c>
      <c r="N52" s="10">
        <v>369</v>
      </c>
      <c r="O52" s="11">
        <f>IFERROR((N52-M52)*K52,0)</f>
      </c>
      <c r="P52" s="10">
        <v>154</v>
      </c>
      <c r="Q52" s="10">
        <v>239</v>
      </c>
      <c r="R52" s="10">
        <v>369</v>
      </c>
      <c r="S52" s="8">
        <f>IFERROR((P52/Q52)*R52,0)</f>
      </c>
      <c r="T52" s="8">
        <f>IFERROR((S52-P52)*((F52-G52)*0.8),0)</f>
      </c>
      <c r="U52" s="12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311</v>
      </c>
      <c r="D53" s="15" t="s">
        <v>169</v>
      </c>
      <c r="E53" s="15" t="s">
        <v>170</v>
      </c>
      <c r="F53" s="15">
        <v>0.035</v>
      </c>
      <c r="G53" s="15">
        <v>0.035</v>
      </c>
      <c r="H53" s="15" t="s">
        <v>70</v>
      </c>
      <c r="I53" s="15" t="s">
        <v>38</v>
      </c>
      <c r="J53" s="15" t="s">
        <v>380</v>
      </c>
      <c r="K53" s="16">
        <f>F53*1.06</f>
      </c>
      <c r="L53" s="17">
        <v>28.456</v>
      </c>
      <c r="M53" s="18">
        <v>239</v>
      </c>
      <c r="N53" s="18">
        <v>369</v>
      </c>
      <c r="O53" s="19">
        <f>IFERROR((N53-M53)*K53,0)</f>
      </c>
      <c r="P53" s="24" t="s">
        <v>85</v>
      </c>
      <c r="Q53" s="24" t="s">
        <v>85</v>
      </c>
      <c r="R53" s="24" t="s">
        <v>85</v>
      </c>
      <c r="S53" s="24" t="s">
        <v>85</v>
      </c>
      <c r="T53" s="16">
        <v>0</v>
      </c>
      <c r="U53" s="20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311</v>
      </c>
      <c r="D54" s="7" t="s">
        <v>340</v>
      </c>
      <c r="E54" s="7" t="s">
        <v>242</v>
      </c>
      <c r="F54" s="7">
        <v>0.287</v>
      </c>
      <c r="G54" s="7">
        <v>0.247</v>
      </c>
      <c r="H54" s="7" t="s">
        <v>70</v>
      </c>
      <c r="I54" s="7" t="s">
        <v>71</v>
      </c>
      <c r="J54" s="7" t="s">
        <v>381</v>
      </c>
      <c r="K54" s="8">
        <f>F54*1.06</f>
      </c>
      <c r="L54" s="9">
        <v>158.1942</v>
      </c>
      <c r="M54" s="10">
        <v>231</v>
      </c>
      <c r="N54" s="10">
        <v>377</v>
      </c>
      <c r="O54" s="11">
        <f>IFERROR((N54-M54)*K54,0)</f>
      </c>
      <c r="P54" s="10">
        <v>154</v>
      </c>
      <c r="Q54" s="10">
        <v>239</v>
      </c>
      <c r="R54" s="10">
        <v>369</v>
      </c>
      <c r="S54" s="8">
        <f>IFERROR((P54/Q54)*R54,0)</f>
      </c>
      <c r="T54" s="8">
        <f>IFERROR((S54-P54)*((F54-G54)*0.8),0)</f>
      </c>
      <c r="U54" s="12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311</v>
      </c>
      <c r="D55" s="15" t="s">
        <v>246</v>
      </c>
      <c r="E55" s="15" t="s">
        <v>242</v>
      </c>
      <c r="F55" s="15">
        <v>0.287</v>
      </c>
      <c r="G55" s="15">
        <v>0.252</v>
      </c>
      <c r="H55" s="15" t="s">
        <v>70</v>
      </c>
      <c r="I55" s="15" t="s">
        <v>71</v>
      </c>
      <c r="J55" s="15" t="s">
        <v>382</v>
      </c>
      <c r="K55" s="16">
        <f>F55*1.06</f>
      </c>
      <c r="L55" s="17">
        <v>159.9308</v>
      </c>
      <c r="M55" s="18">
        <v>231</v>
      </c>
      <c r="N55" s="18">
        <v>377</v>
      </c>
      <c r="O55" s="19">
        <f>IFERROR((N55-M55)*K55,0)</f>
      </c>
      <c r="P55" s="18">
        <v>154</v>
      </c>
      <c r="Q55" s="18">
        <v>239</v>
      </c>
      <c r="R55" s="18">
        <v>369</v>
      </c>
      <c r="S55" s="16">
        <f>IFERROR((P55/Q55)*R55,0)</f>
      </c>
      <c r="T55" s="16">
        <f>IFERROR((S55-P55)*((F55-G55)*0.8),0)</f>
      </c>
      <c r="U55" s="20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311</v>
      </c>
      <c r="D56" s="7" t="s">
        <v>241</v>
      </c>
      <c r="E56" s="7" t="s">
        <v>242</v>
      </c>
      <c r="F56" s="7">
        <v>0.3</v>
      </c>
      <c r="G56" s="7">
        <v>0.24</v>
      </c>
      <c r="H56" s="7" t="s">
        <v>70</v>
      </c>
      <c r="I56" s="7" t="s">
        <v>71</v>
      </c>
      <c r="J56" s="7" t="s">
        <v>383</v>
      </c>
      <c r="K56" s="8">
        <f>F56*1.06</f>
      </c>
      <c r="L56" s="9">
        <v>160.0221</v>
      </c>
      <c r="M56" s="10">
        <v>231</v>
      </c>
      <c r="N56" s="10">
        <v>377</v>
      </c>
      <c r="O56" s="11">
        <f>IFERROR((N56-M56)*K56,0)</f>
      </c>
      <c r="P56" s="10">
        <v>154</v>
      </c>
      <c r="Q56" s="10">
        <v>239</v>
      </c>
      <c r="R56" s="10">
        <v>369</v>
      </c>
      <c r="S56" s="8">
        <f>IFERROR((P56/Q56)*R56,0)</f>
      </c>
      <c r="T56" s="8">
        <f>IFERROR((S56-P56)*((F56-G56)*0.8),0)</f>
      </c>
      <c r="U56" s="12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311</v>
      </c>
      <c r="D57" s="15" t="s">
        <v>248</v>
      </c>
      <c r="E57" s="15" t="s">
        <v>49</v>
      </c>
      <c r="F57" s="15">
        <v>0.116</v>
      </c>
      <c r="G57" s="15">
        <v>0.116</v>
      </c>
      <c r="H57" s="15" t="s">
        <v>70</v>
      </c>
      <c r="I57" s="15" t="s">
        <v>38</v>
      </c>
      <c r="J57" s="15" t="s">
        <v>384</v>
      </c>
      <c r="K57" s="16">
        <f>F57*1.06</f>
      </c>
      <c r="L57" s="17">
        <v>88.7144</v>
      </c>
      <c r="M57" s="18">
        <v>239</v>
      </c>
      <c r="N57" s="18">
        <v>369</v>
      </c>
      <c r="O57" s="19">
        <f>IFERROR((N57-M57)*K57,0)</f>
      </c>
      <c r="P57" s="24" t="s">
        <v>85</v>
      </c>
      <c r="Q57" s="24" t="s">
        <v>85</v>
      </c>
      <c r="R57" s="24" t="s">
        <v>85</v>
      </c>
      <c r="S57" s="24" t="s">
        <v>85</v>
      </c>
      <c r="T57" s="16">
        <v>0</v>
      </c>
      <c r="U57" s="20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311</v>
      </c>
      <c r="D58" s="7" t="s">
        <v>385</v>
      </c>
      <c r="E58" s="7" t="s">
        <v>242</v>
      </c>
      <c r="F58" s="7">
        <v>0.287</v>
      </c>
      <c r="G58" s="7">
        <v>0.248</v>
      </c>
      <c r="H58" s="7" t="s">
        <v>70</v>
      </c>
      <c r="I58" s="7" t="s">
        <v>71</v>
      </c>
      <c r="J58" s="7" t="s">
        <v>386</v>
      </c>
      <c r="K58" s="8">
        <f>F58*1.06</f>
      </c>
      <c r="L58" s="9">
        <v>163.0935</v>
      </c>
      <c r="M58" s="10">
        <v>231</v>
      </c>
      <c r="N58" s="10">
        <v>377</v>
      </c>
      <c r="O58" s="11">
        <f>IFERROR((N58-M58)*K58,0)</f>
      </c>
      <c r="P58" s="10">
        <v>154</v>
      </c>
      <c r="Q58" s="10">
        <v>239</v>
      </c>
      <c r="R58" s="10">
        <v>369</v>
      </c>
      <c r="S58" s="8">
        <f>IFERROR((P58/Q58)*R58,0)</f>
      </c>
      <c r="T58" s="8">
        <f>IFERROR((S58-P58)*((F58-G58)*0.8),0)</f>
      </c>
      <c r="U58" s="12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311</v>
      </c>
      <c r="D59" s="15" t="s">
        <v>387</v>
      </c>
      <c r="E59" s="15" t="s">
        <v>388</v>
      </c>
      <c r="F59" s="15">
        <v>0.306</v>
      </c>
      <c r="G59" s="15">
        <v>0.265</v>
      </c>
      <c r="H59" s="15" t="s">
        <v>70</v>
      </c>
      <c r="I59" s="15" t="s">
        <v>71</v>
      </c>
      <c r="J59" s="15" t="s">
        <v>389</v>
      </c>
      <c r="K59" s="16">
        <f>F59*1.06</f>
      </c>
      <c r="L59" s="17">
        <v>161.3641</v>
      </c>
      <c r="M59" s="18">
        <v>231</v>
      </c>
      <c r="N59" s="18">
        <v>377</v>
      </c>
      <c r="O59" s="19">
        <f>IFERROR((N59-M59)*K59,0)</f>
      </c>
      <c r="P59" s="18">
        <v>154</v>
      </c>
      <c r="Q59" s="18">
        <v>239</v>
      </c>
      <c r="R59" s="18">
        <v>369</v>
      </c>
      <c r="S59" s="16">
        <f>IFERROR((P59/Q59)*R59,0)</f>
      </c>
      <c r="T59" s="16">
        <f>IFERROR((S59-P59)*((F59-G59)*0.8),0)</f>
      </c>
      <c r="U59" s="20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311</v>
      </c>
      <c r="D60" s="7" t="s">
        <v>390</v>
      </c>
      <c r="E60" s="7" t="s">
        <v>391</v>
      </c>
      <c r="F60" s="7">
        <v>0.345</v>
      </c>
      <c r="G60" s="7">
        <v>0.336</v>
      </c>
      <c r="H60" s="7" t="s">
        <v>154</v>
      </c>
      <c r="I60" s="7" t="s">
        <v>38</v>
      </c>
      <c r="J60" s="7" t="s">
        <v>392</v>
      </c>
      <c r="K60" s="8">
        <f>F60*1.06</f>
      </c>
      <c r="L60" s="9">
        <v>176.0249</v>
      </c>
      <c r="M60" s="10">
        <v>239</v>
      </c>
      <c r="N60" s="10">
        <v>369</v>
      </c>
      <c r="O60" s="11">
        <f>IFERROR((N60-M60)*K60,0)</f>
      </c>
      <c r="P60" s="10">
        <v>154</v>
      </c>
      <c r="Q60" s="10">
        <v>239</v>
      </c>
      <c r="R60" s="10">
        <v>369</v>
      </c>
      <c r="S60" s="8">
        <f>IFERROR((P60/Q60)*R60,0)</f>
      </c>
      <c r="T60" s="8">
        <f>IFERROR((S60-P60)*((F60-G60)*0.8),0)</f>
      </c>
      <c r="U60" s="12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311</v>
      </c>
      <c r="D61" s="15" t="s">
        <v>211</v>
      </c>
      <c r="E61" s="15" t="s">
        <v>212</v>
      </c>
      <c r="F61" s="15">
        <v>1.25</v>
      </c>
      <c r="G61" s="15">
        <v>1.16</v>
      </c>
      <c r="H61" s="15" t="s">
        <v>83</v>
      </c>
      <c r="I61" s="15" t="s">
        <v>71</v>
      </c>
      <c r="J61" s="15" t="s">
        <v>393</v>
      </c>
      <c r="K61" s="16">
        <f>F61*1.06</f>
      </c>
      <c r="L61" s="17">
        <v>803.0543</v>
      </c>
      <c r="M61" s="18">
        <v>231</v>
      </c>
      <c r="N61" s="18">
        <v>377</v>
      </c>
      <c r="O61" s="19">
        <f>IFERROR((N61-M61)*K61,0)</f>
      </c>
      <c r="P61" s="18">
        <v>154</v>
      </c>
      <c r="Q61" s="18">
        <v>239</v>
      </c>
      <c r="R61" s="18">
        <v>369</v>
      </c>
      <c r="S61" s="16">
        <f>IFERROR((P61/Q61)*R61,0)</f>
      </c>
      <c r="T61" s="16">
        <f>IFERROR((S61-P61)*((F61-G61)*0.8),0)</f>
      </c>
      <c r="U61" s="20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311</v>
      </c>
      <c r="D62" s="7" t="s">
        <v>176</v>
      </c>
      <c r="E62" s="7" t="s">
        <v>177</v>
      </c>
      <c r="F62" s="7">
        <v>0.671</v>
      </c>
      <c r="G62" s="7">
        <v>0.622</v>
      </c>
      <c r="H62" s="7" t="s">
        <v>83</v>
      </c>
      <c r="I62" s="7" t="s">
        <v>71</v>
      </c>
      <c r="J62" s="7" t="s">
        <v>394</v>
      </c>
      <c r="K62" s="8">
        <f>F62*1.06</f>
      </c>
      <c r="L62" s="9">
        <v>463.9817</v>
      </c>
      <c r="M62" s="10">
        <v>231</v>
      </c>
      <c r="N62" s="10">
        <v>377</v>
      </c>
      <c r="O62" s="11">
        <f>IFERROR((N62-M62)*K62,0)</f>
      </c>
      <c r="P62" s="10">
        <v>154</v>
      </c>
      <c r="Q62" s="10">
        <v>239</v>
      </c>
      <c r="R62" s="10">
        <v>369</v>
      </c>
      <c r="S62" s="8">
        <f>IFERROR((P62/Q62)*R62,0)</f>
      </c>
      <c r="T62" s="8">
        <f>IFERROR((S62-P62)*((F62-G62)*0.8),0)</f>
      </c>
      <c r="U62" s="12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311</v>
      </c>
      <c r="D63" s="15" t="s">
        <v>204</v>
      </c>
      <c r="E63" s="15" t="s">
        <v>205</v>
      </c>
      <c r="F63" s="15">
        <v>0.163</v>
      </c>
      <c r="G63" s="15">
        <v>0.153</v>
      </c>
      <c r="H63" s="15" t="s">
        <v>83</v>
      </c>
      <c r="I63" s="15" t="s">
        <v>38</v>
      </c>
      <c r="J63" s="15" t="s">
        <v>395</v>
      </c>
      <c r="K63" s="16">
        <f>F63*1.06</f>
      </c>
      <c r="L63" s="17">
        <v>179.9966</v>
      </c>
      <c r="M63" s="18">
        <v>239</v>
      </c>
      <c r="N63" s="18">
        <v>369</v>
      </c>
      <c r="O63" s="19">
        <f>IFERROR((N63-M63)*K63,0)</f>
      </c>
      <c r="P63" s="18">
        <v>154</v>
      </c>
      <c r="Q63" s="18">
        <v>239</v>
      </c>
      <c r="R63" s="18">
        <v>369</v>
      </c>
      <c r="S63" s="16">
        <f>IFERROR((P63/Q63)*R63,0)</f>
      </c>
      <c r="T63" s="16">
        <f>IFERROR((S63-P63)*((F63-G63)*0.8),0)</f>
      </c>
      <c r="U63" s="20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311</v>
      </c>
      <c r="D64" s="7" t="s">
        <v>173</v>
      </c>
      <c r="E64" s="7" t="s">
        <v>174</v>
      </c>
      <c r="F64" s="7">
        <v>0.671</v>
      </c>
      <c r="G64" s="7">
        <v>0.622</v>
      </c>
      <c r="H64" s="7" t="s">
        <v>83</v>
      </c>
      <c r="I64" s="7" t="s">
        <v>71</v>
      </c>
      <c r="J64" s="7" t="s">
        <v>396</v>
      </c>
      <c r="K64" s="8">
        <f>F64*1.06</f>
      </c>
      <c r="L64" s="9">
        <v>467.5517</v>
      </c>
      <c r="M64" s="10">
        <v>231</v>
      </c>
      <c r="N64" s="10">
        <v>377</v>
      </c>
      <c r="O64" s="11">
        <f>IFERROR((N64-M64)*K64,0)</f>
      </c>
      <c r="P64" s="10">
        <v>154</v>
      </c>
      <c r="Q64" s="10">
        <v>239</v>
      </c>
      <c r="R64" s="10">
        <v>369</v>
      </c>
      <c r="S64" s="8">
        <f>IFERROR((P64/Q64)*R64,0)</f>
      </c>
      <c r="T64" s="8">
        <f>IFERROR((S64-P64)*((F64-G64)*0.8),0)</f>
      </c>
      <c r="U64" s="12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311</v>
      </c>
      <c r="D65" s="15" t="s">
        <v>220</v>
      </c>
      <c r="E65" s="15" t="s">
        <v>221</v>
      </c>
      <c r="F65" s="15">
        <v>0.168</v>
      </c>
      <c r="G65" s="15">
        <v>0.163</v>
      </c>
      <c r="H65" s="15" t="s">
        <v>83</v>
      </c>
      <c r="I65" s="15" t="s">
        <v>38</v>
      </c>
      <c r="J65" s="15" t="s">
        <v>397</v>
      </c>
      <c r="K65" s="16">
        <f>F65*1.06</f>
      </c>
      <c r="L65" s="17">
        <v>179.914</v>
      </c>
      <c r="M65" s="18">
        <v>239</v>
      </c>
      <c r="N65" s="18">
        <v>369</v>
      </c>
      <c r="O65" s="19">
        <f>IFERROR((N65-M65)*K65,0)</f>
      </c>
      <c r="P65" s="18">
        <v>154</v>
      </c>
      <c r="Q65" s="18">
        <v>239</v>
      </c>
      <c r="R65" s="18">
        <v>369</v>
      </c>
      <c r="S65" s="16">
        <f>IFERROR((P65/Q65)*R65,0)</f>
      </c>
      <c r="T65" s="16">
        <f>IFERROR((S65-P65)*((F65-G65)*0.8),0)</f>
      </c>
      <c r="U65" s="20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311</v>
      </c>
      <c r="D66" s="7" t="s">
        <v>233</v>
      </c>
      <c r="E66" s="7" t="s">
        <v>82</v>
      </c>
      <c r="F66" s="7">
        <v>0.3584</v>
      </c>
      <c r="G66" s="7">
        <v>0.327</v>
      </c>
      <c r="H66" s="7" t="s">
        <v>83</v>
      </c>
      <c r="I66" s="7" t="s">
        <v>38</v>
      </c>
      <c r="J66" s="7" t="s">
        <v>398</v>
      </c>
      <c r="K66" s="8">
        <f>F66*1.06</f>
      </c>
      <c r="L66" s="9">
        <v>226.0241</v>
      </c>
      <c r="M66" s="10">
        <v>239</v>
      </c>
      <c r="N66" s="10">
        <v>369</v>
      </c>
      <c r="O66" s="11">
        <f>IFERROR((N66-M66)*K66,0)</f>
      </c>
      <c r="P66" s="10">
        <v>154</v>
      </c>
      <c r="Q66" s="10">
        <v>239</v>
      </c>
      <c r="R66" s="10">
        <v>369</v>
      </c>
      <c r="S66" s="8">
        <f>IFERROR((P66/Q66)*R66,0)</f>
      </c>
      <c r="T66" s="8">
        <f>IFERROR((S66-P66)*((F66-G66)*0.8),0)</f>
      </c>
      <c r="U66" s="12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311</v>
      </c>
      <c r="D67" s="15" t="s">
        <v>78</v>
      </c>
      <c r="E67" s="15" t="s">
        <v>196</v>
      </c>
      <c r="F67" s="15">
        <v>0.268</v>
      </c>
      <c r="G67" s="15">
        <v>0.254</v>
      </c>
      <c r="H67" s="15" t="s">
        <v>83</v>
      </c>
      <c r="I67" s="15" t="s">
        <v>38</v>
      </c>
      <c r="J67" s="15" t="s">
        <v>399</v>
      </c>
      <c r="K67" s="16">
        <f>F67*1.06</f>
      </c>
      <c r="L67" s="17">
        <v>187.9772</v>
      </c>
      <c r="M67" s="18">
        <v>239</v>
      </c>
      <c r="N67" s="18">
        <v>369</v>
      </c>
      <c r="O67" s="19">
        <f>IFERROR((N67-M67)*K67,0)</f>
      </c>
      <c r="P67" s="18">
        <v>154</v>
      </c>
      <c r="Q67" s="18">
        <v>239</v>
      </c>
      <c r="R67" s="18">
        <v>369</v>
      </c>
      <c r="S67" s="16">
        <f>IFERROR((P67/Q67)*R67,0)</f>
      </c>
      <c r="T67" s="16">
        <f>IFERROR((S67-P67)*((F67-G67)*0.8),0)</f>
      </c>
      <c r="U67" s="20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311</v>
      </c>
      <c r="D68" s="7" t="s">
        <v>230</v>
      </c>
      <c r="E68" s="7" t="s">
        <v>231</v>
      </c>
      <c r="F68" s="7">
        <v>0.3095</v>
      </c>
      <c r="G68" s="7">
        <v>0.29</v>
      </c>
      <c r="H68" s="7" t="s">
        <v>83</v>
      </c>
      <c r="I68" s="7" t="s">
        <v>38</v>
      </c>
      <c r="J68" s="7" t="s">
        <v>400</v>
      </c>
      <c r="K68" s="8">
        <f>F68*1.06</f>
      </c>
      <c r="L68" s="9">
        <v>191.774</v>
      </c>
      <c r="M68" s="10">
        <v>239</v>
      </c>
      <c r="N68" s="10">
        <v>369</v>
      </c>
      <c r="O68" s="11">
        <f>IFERROR((N68-M68)*K68,0)</f>
      </c>
      <c r="P68" s="10">
        <v>154</v>
      </c>
      <c r="Q68" s="10">
        <v>239</v>
      </c>
      <c r="R68" s="10">
        <v>369</v>
      </c>
      <c r="S68" s="8">
        <f>IFERROR((P68/Q68)*R68,0)</f>
      </c>
      <c r="T68" s="8">
        <f>IFERROR((S68-P68)*((F68-G68)*0.8),0)</f>
      </c>
      <c r="U68" s="12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311</v>
      </c>
      <c r="D69" s="15" t="s">
        <v>186</v>
      </c>
      <c r="E69" s="15" t="s">
        <v>187</v>
      </c>
      <c r="F69" s="15">
        <v>0.316</v>
      </c>
      <c r="G69" s="15">
        <v>0.316</v>
      </c>
      <c r="H69" s="15" t="s">
        <v>83</v>
      </c>
      <c r="I69" s="15" t="s">
        <v>71</v>
      </c>
      <c r="J69" s="15" t="s">
        <v>401</v>
      </c>
      <c r="K69" s="16">
        <f>F69*1.06</f>
      </c>
      <c r="L69" s="17">
        <v>233.5898</v>
      </c>
      <c r="M69" s="18">
        <v>231</v>
      </c>
      <c r="N69" s="18">
        <v>377</v>
      </c>
      <c r="O69" s="19">
        <f>IFERROR((N69-M69)*K69,0)</f>
      </c>
      <c r="P69" s="24" t="s">
        <v>85</v>
      </c>
      <c r="Q69" s="24" t="s">
        <v>85</v>
      </c>
      <c r="R69" s="24" t="s">
        <v>85</v>
      </c>
      <c r="S69" s="24" t="s">
        <v>85</v>
      </c>
      <c r="T69" s="16">
        <v>0</v>
      </c>
      <c r="U69" s="20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311</v>
      </c>
      <c r="D70" s="7" t="s">
        <v>179</v>
      </c>
      <c r="E70" s="7" t="s">
        <v>180</v>
      </c>
      <c r="F70" s="7">
        <v>0.145</v>
      </c>
      <c r="G70" s="7">
        <v>0.134</v>
      </c>
      <c r="H70" s="7" t="s">
        <v>83</v>
      </c>
      <c r="I70" s="7" t="s">
        <v>38</v>
      </c>
      <c r="J70" s="7" t="s">
        <v>402</v>
      </c>
      <c r="K70" s="8">
        <f>F70*1.06</f>
      </c>
      <c r="L70" s="9">
        <v>115.7422</v>
      </c>
      <c r="M70" s="10">
        <v>239</v>
      </c>
      <c r="N70" s="10">
        <v>369</v>
      </c>
      <c r="O70" s="11">
        <f>IFERROR((N70-M70)*K70,0)</f>
      </c>
      <c r="P70" s="10">
        <v>154</v>
      </c>
      <c r="Q70" s="10">
        <v>239</v>
      </c>
      <c r="R70" s="10">
        <v>369</v>
      </c>
      <c r="S70" s="8">
        <f>IFERROR((P70/Q70)*R70,0)</f>
      </c>
      <c r="T70" s="8">
        <f>IFERROR((S70-P70)*((F70-G70)*0.8),0)</f>
      </c>
      <c r="U70" s="12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311</v>
      </c>
      <c r="D71" s="15" t="s">
        <v>62</v>
      </c>
      <c r="E71" s="15" t="s">
        <v>63</v>
      </c>
      <c r="F71" s="15">
        <v>0.096</v>
      </c>
      <c r="G71" s="15">
        <v>0.084</v>
      </c>
      <c r="H71" s="15" t="s">
        <v>83</v>
      </c>
      <c r="I71" s="15" t="s">
        <v>38</v>
      </c>
      <c r="J71" s="15" t="s">
        <v>403</v>
      </c>
      <c r="K71" s="16">
        <f>F71*1.06</f>
      </c>
      <c r="L71" s="17">
        <v>97.0885</v>
      </c>
      <c r="M71" s="18">
        <v>239</v>
      </c>
      <c r="N71" s="18">
        <v>369</v>
      </c>
      <c r="O71" s="19">
        <f>IFERROR((N71-M71)*K71,0)</f>
      </c>
      <c r="P71" s="18">
        <v>154</v>
      </c>
      <c r="Q71" s="18">
        <v>239</v>
      </c>
      <c r="R71" s="18">
        <v>369</v>
      </c>
      <c r="S71" s="16">
        <f>IFERROR((P71/Q71)*R71,0)</f>
      </c>
      <c r="T71" s="16">
        <f>IFERROR((S71-P71)*((F71-G71)*0.8),0)</f>
      </c>
      <c r="U71" s="20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311</v>
      </c>
      <c r="D72" s="7" t="s">
        <v>65</v>
      </c>
      <c r="E72" s="7" t="s">
        <v>66</v>
      </c>
      <c r="F72" s="7">
        <v>0.077</v>
      </c>
      <c r="G72" s="7">
        <v>0.069</v>
      </c>
      <c r="H72" s="7" t="s">
        <v>83</v>
      </c>
      <c r="I72" s="7" t="s">
        <v>38</v>
      </c>
      <c r="J72" s="7" t="s">
        <v>404</v>
      </c>
      <c r="K72" s="8">
        <f>F72*1.06</f>
      </c>
      <c r="L72" s="9">
        <v>71.6566</v>
      </c>
      <c r="M72" s="10">
        <v>239</v>
      </c>
      <c r="N72" s="10">
        <v>369</v>
      </c>
      <c r="O72" s="11">
        <f>IFERROR((N72-M72)*K72,0)</f>
      </c>
      <c r="P72" s="10">
        <v>154</v>
      </c>
      <c r="Q72" s="10">
        <v>239</v>
      </c>
      <c r="R72" s="10">
        <v>369</v>
      </c>
      <c r="S72" s="8">
        <f>IFERROR((P72/Q72)*R72,0)</f>
      </c>
      <c r="T72" s="8">
        <f>IFERROR((S72-P72)*((F72-G72)*0.8),0)</f>
      </c>
      <c r="U72" s="12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311</v>
      </c>
      <c r="D73" s="15" t="s">
        <v>223</v>
      </c>
      <c r="E73" s="15" t="s">
        <v>224</v>
      </c>
      <c r="F73" s="15">
        <v>0.358</v>
      </c>
      <c r="G73" s="15">
        <v>0.326</v>
      </c>
      <c r="H73" s="15" t="s">
        <v>83</v>
      </c>
      <c r="I73" s="15" t="s">
        <v>38</v>
      </c>
      <c r="J73" s="15" t="s">
        <v>405</v>
      </c>
      <c r="K73" s="16">
        <f>F73*1.06</f>
      </c>
      <c r="L73" s="17">
        <v>226.0748</v>
      </c>
      <c r="M73" s="18">
        <v>239</v>
      </c>
      <c r="N73" s="18">
        <v>369</v>
      </c>
      <c r="O73" s="19">
        <f>IFERROR((N73-M73)*K73,0)</f>
      </c>
      <c r="P73" s="18">
        <v>154</v>
      </c>
      <c r="Q73" s="18">
        <v>239</v>
      </c>
      <c r="R73" s="18">
        <v>369</v>
      </c>
      <c r="S73" s="16">
        <f>IFERROR((P73/Q73)*R73,0)</f>
      </c>
      <c r="T73" s="16">
        <f>IFERROR((S73-P73)*((F73-G73)*0.8),0)</f>
      </c>
      <c r="U73" s="20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311</v>
      </c>
      <c r="D74" s="7" t="s">
        <v>182</v>
      </c>
      <c r="E74" s="7" t="s">
        <v>183</v>
      </c>
      <c r="F74" s="7">
        <v>0.435</v>
      </c>
      <c r="G74" s="7">
        <v>0.425</v>
      </c>
      <c r="H74" s="7" t="s">
        <v>83</v>
      </c>
      <c r="I74" s="7" t="s">
        <v>38</v>
      </c>
      <c r="J74" s="7" t="s">
        <v>406</v>
      </c>
      <c r="K74" s="8">
        <f>F74*1.06</f>
      </c>
      <c r="L74" s="9">
        <v>224.6709</v>
      </c>
      <c r="M74" s="10">
        <v>239</v>
      </c>
      <c r="N74" s="10">
        <v>369</v>
      </c>
      <c r="O74" s="11">
        <f>IFERROR((N74-M74)*K74,0)</f>
      </c>
      <c r="P74" s="10">
        <v>154</v>
      </c>
      <c r="Q74" s="10">
        <v>239</v>
      </c>
      <c r="R74" s="10">
        <v>369</v>
      </c>
      <c r="S74" s="8">
        <f>IFERROR((P74/Q74)*R74,0)</f>
      </c>
      <c r="T74" s="8">
        <f>IFERROR((S74-P74)*((F74-G74)*0.8),0)</f>
      </c>
      <c r="U74" s="12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311</v>
      </c>
      <c r="D75" s="15" t="s">
        <v>119</v>
      </c>
      <c r="E75" s="15" t="s">
        <v>120</v>
      </c>
      <c r="F75" s="15">
        <v>0.361</v>
      </c>
      <c r="G75" s="15">
        <v>0.321</v>
      </c>
      <c r="H75" s="15" t="s">
        <v>83</v>
      </c>
      <c r="I75" s="15" t="s">
        <v>38</v>
      </c>
      <c r="J75" s="15" t="s">
        <v>407</v>
      </c>
      <c r="K75" s="16">
        <f>F75*1.06</f>
      </c>
      <c r="L75" s="17">
        <v>168.7728</v>
      </c>
      <c r="M75" s="18">
        <v>239</v>
      </c>
      <c r="N75" s="18">
        <v>369</v>
      </c>
      <c r="O75" s="19">
        <f>IFERROR((N75-M75)*K75,0)</f>
      </c>
      <c r="P75" s="18">
        <v>154</v>
      </c>
      <c r="Q75" s="18">
        <v>239</v>
      </c>
      <c r="R75" s="18">
        <v>369</v>
      </c>
      <c r="S75" s="16">
        <f>IFERROR((P75/Q75)*R75,0)</f>
      </c>
      <c r="T75" s="16">
        <f>IFERROR((S75-P75)*((F75-G75)*0.8),0)</f>
      </c>
      <c r="U75" s="20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311</v>
      </c>
      <c r="D76" s="7" t="s">
        <v>116</v>
      </c>
      <c r="E76" s="7" t="s">
        <v>117</v>
      </c>
      <c r="F76" s="7">
        <v>0.322</v>
      </c>
      <c r="G76" s="7">
        <v>0.29</v>
      </c>
      <c r="H76" s="7" t="s">
        <v>83</v>
      </c>
      <c r="I76" s="7" t="s">
        <v>38</v>
      </c>
      <c r="J76" s="7" t="s">
        <v>408</v>
      </c>
      <c r="K76" s="8">
        <f>F76*1.06</f>
      </c>
      <c r="L76" s="9">
        <v>162.7147</v>
      </c>
      <c r="M76" s="10">
        <v>239</v>
      </c>
      <c r="N76" s="10">
        <v>369</v>
      </c>
      <c r="O76" s="11">
        <f>IFERROR((N76-M76)*K76,0)</f>
      </c>
      <c r="P76" s="10">
        <v>154</v>
      </c>
      <c r="Q76" s="10">
        <v>239</v>
      </c>
      <c r="R76" s="10">
        <v>369</v>
      </c>
      <c r="S76" s="8">
        <f>IFERROR((P76/Q76)*R76,0)</f>
      </c>
      <c r="T76" s="8">
        <f>IFERROR((S76-P76)*((F76-G76)*0.8),0)</f>
      </c>
      <c r="U76" s="12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311</v>
      </c>
      <c r="D77" s="15" t="s">
        <v>198</v>
      </c>
      <c r="E77" s="15" t="s">
        <v>199</v>
      </c>
      <c r="F77" s="15">
        <v>0.164</v>
      </c>
      <c r="G77" s="15">
        <v>0.1</v>
      </c>
      <c r="H77" s="15" t="s">
        <v>83</v>
      </c>
      <c r="I77" s="15" t="s">
        <v>38</v>
      </c>
      <c r="J77" s="15" t="s">
        <v>409</v>
      </c>
      <c r="K77" s="16">
        <f>F77*1.06</f>
      </c>
      <c r="L77" s="17">
        <v>89.4584</v>
      </c>
      <c r="M77" s="18">
        <v>239</v>
      </c>
      <c r="N77" s="18">
        <v>369</v>
      </c>
      <c r="O77" s="19">
        <f>IFERROR((N77-M77)*K77,0)</f>
      </c>
      <c r="P77" s="18">
        <v>154</v>
      </c>
      <c r="Q77" s="18">
        <v>239</v>
      </c>
      <c r="R77" s="18">
        <v>369</v>
      </c>
      <c r="S77" s="16">
        <f>IFERROR((P77/Q77)*R77,0)</f>
      </c>
      <c r="T77" s="16">
        <f>IFERROR((S77-P77)*((F77-G77)*0.8),0)</f>
      </c>
      <c r="U77" s="20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311</v>
      </c>
      <c r="D78" s="7" t="s">
        <v>113</v>
      </c>
      <c r="E78" s="7" t="s">
        <v>114</v>
      </c>
      <c r="F78" s="7">
        <v>1.25</v>
      </c>
      <c r="G78" s="7">
        <v>1.25</v>
      </c>
      <c r="H78" s="7" t="s">
        <v>83</v>
      </c>
      <c r="I78" s="7" t="s">
        <v>71</v>
      </c>
      <c r="J78" s="7" t="s">
        <v>410</v>
      </c>
      <c r="K78" s="8">
        <f>F78*1.06</f>
      </c>
      <c r="L78" s="9">
        <v>478.9628</v>
      </c>
      <c r="M78" s="10">
        <v>231</v>
      </c>
      <c r="N78" s="10">
        <v>377</v>
      </c>
      <c r="O78" s="11">
        <f>IFERROR((N78-M78)*K78,0)</f>
      </c>
      <c r="P78" s="23" t="s">
        <v>85</v>
      </c>
      <c r="Q78" s="23" t="s">
        <v>85</v>
      </c>
      <c r="R78" s="23" t="s">
        <v>85</v>
      </c>
      <c r="S78" s="23" t="s">
        <v>85</v>
      </c>
      <c r="T78" s="8">
        <v>0</v>
      </c>
      <c r="U78" s="12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311</v>
      </c>
      <c r="D79" s="15" t="s">
        <v>110</v>
      </c>
      <c r="E79" s="15" t="s">
        <v>111</v>
      </c>
      <c r="F79" s="15">
        <v>1.25</v>
      </c>
      <c r="G79" s="15">
        <v>1.25</v>
      </c>
      <c r="H79" s="15" t="s">
        <v>83</v>
      </c>
      <c r="I79" s="15" t="s">
        <v>71</v>
      </c>
      <c r="J79" s="15" t="s">
        <v>411</v>
      </c>
      <c r="K79" s="16">
        <f>F79*1.06</f>
      </c>
      <c r="L79" s="17">
        <v>487.4028</v>
      </c>
      <c r="M79" s="18">
        <v>231</v>
      </c>
      <c r="N79" s="18">
        <v>377</v>
      </c>
      <c r="O79" s="19">
        <f>IFERROR((N79-M79)*K79,0)</f>
      </c>
      <c r="P79" s="24" t="s">
        <v>85</v>
      </c>
      <c r="Q79" s="24" t="s">
        <v>85</v>
      </c>
      <c r="R79" s="24" t="s">
        <v>85</v>
      </c>
      <c r="S79" s="24" t="s">
        <v>85</v>
      </c>
      <c r="T79" s="16">
        <v>0</v>
      </c>
      <c r="U79" s="20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311</v>
      </c>
      <c r="D80" s="7" t="s">
        <v>107</v>
      </c>
      <c r="E80" s="7" t="s">
        <v>108</v>
      </c>
      <c r="F80" s="7">
        <v>1.521</v>
      </c>
      <c r="G80" s="7">
        <v>1.521</v>
      </c>
      <c r="H80" s="7" t="s">
        <v>83</v>
      </c>
      <c r="I80" s="7" t="s">
        <v>71</v>
      </c>
      <c r="J80" s="7" t="s">
        <v>412</v>
      </c>
      <c r="K80" s="8">
        <f>F80*1.06</f>
      </c>
      <c r="L80" s="9">
        <v>568.6529</v>
      </c>
      <c r="M80" s="10">
        <v>231</v>
      </c>
      <c r="N80" s="10">
        <v>377</v>
      </c>
      <c r="O80" s="11">
        <f>IFERROR((N80-M80)*K80,0)</f>
      </c>
      <c r="P80" s="23" t="s">
        <v>85</v>
      </c>
      <c r="Q80" s="23" t="s">
        <v>85</v>
      </c>
      <c r="R80" s="23" t="s">
        <v>85</v>
      </c>
      <c r="S80" s="23" t="s">
        <v>85</v>
      </c>
      <c r="T80" s="8">
        <v>0</v>
      </c>
      <c r="U80" s="12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311</v>
      </c>
      <c r="D81" s="15" t="s">
        <v>105</v>
      </c>
      <c r="E81" s="15" t="s">
        <v>82</v>
      </c>
      <c r="F81" s="15">
        <v>1.383</v>
      </c>
      <c r="G81" s="15">
        <v>1.383</v>
      </c>
      <c r="H81" s="15" t="s">
        <v>83</v>
      </c>
      <c r="I81" s="15" t="s">
        <v>71</v>
      </c>
      <c r="J81" s="15" t="s">
        <v>413</v>
      </c>
      <c r="K81" s="16">
        <f>F81*1.06</f>
      </c>
      <c r="L81" s="17">
        <v>548.6474</v>
      </c>
      <c r="M81" s="18">
        <v>231</v>
      </c>
      <c r="N81" s="18">
        <v>377</v>
      </c>
      <c r="O81" s="19">
        <f>IFERROR((N81-M81)*K81,0)</f>
      </c>
      <c r="P81" s="24" t="s">
        <v>85</v>
      </c>
      <c r="Q81" s="24" t="s">
        <v>85</v>
      </c>
      <c r="R81" s="24" t="s">
        <v>85</v>
      </c>
      <c r="S81" s="24" t="s">
        <v>85</v>
      </c>
      <c r="T81" s="16">
        <v>0</v>
      </c>
      <c r="U81" s="20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311</v>
      </c>
      <c r="D82" s="7" t="s">
        <v>208</v>
      </c>
      <c r="E82" s="7" t="s">
        <v>209</v>
      </c>
      <c r="F82" s="7">
        <v>0.218</v>
      </c>
      <c r="G82" s="7">
        <v>0.218</v>
      </c>
      <c r="H82" s="7" t="s">
        <v>83</v>
      </c>
      <c r="I82" s="7" t="s">
        <v>38</v>
      </c>
      <c r="J82" s="7" t="s">
        <v>414</v>
      </c>
      <c r="K82" s="8">
        <f>F82*1.06</f>
      </c>
      <c r="L82" s="9">
        <v>112.0691</v>
      </c>
      <c r="M82" s="10">
        <v>239</v>
      </c>
      <c r="N82" s="10">
        <v>369</v>
      </c>
      <c r="O82" s="11">
        <f>IFERROR((N82-M82)*K82,0)</f>
      </c>
      <c r="P82" s="23" t="s">
        <v>85</v>
      </c>
      <c r="Q82" s="23" t="s">
        <v>85</v>
      </c>
      <c r="R82" s="23" t="s">
        <v>85</v>
      </c>
      <c r="S82" s="23" t="s">
        <v>85</v>
      </c>
      <c r="T82" s="8">
        <v>0</v>
      </c>
      <c r="U82" s="12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311</v>
      </c>
      <c r="D83" s="15" t="s">
        <v>68</v>
      </c>
      <c r="E83" s="15" t="s">
        <v>69</v>
      </c>
      <c r="F83" s="15">
        <v>0.444</v>
      </c>
      <c r="G83" s="15">
        <v>0.386</v>
      </c>
      <c r="H83" s="15" t="s">
        <v>83</v>
      </c>
      <c r="I83" s="15" t="s">
        <v>71</v>
      </c>
      <c r="J83" s="15" t="s">
        <v>415</v>
      </c>
      <c r="K83" s="16">
        <f>F83*1.06</f>
      </c>
      <c r="L83" s="17">
        <v>221.4113</v>
      </c>
      <c r="M83" s="18">
        <v>231</v>
      </c>
      <c r="N83" s="18">
        <v>377</v>
      </c>
      <c r="O83" s="19">
        <f>IFERROR((N83-M83)*K83,0)</f>
      </c>
      <c r="P83" s="18">
        <v>154</v>
      </c>
      <c r="Q83" s="18">
        <v>239</v>
      </c>
      <c r="R83" s="18">
        <v>369</v>
      </c>
      <c r="S83" s="16">
        <f>IFERROR((P83/Q83)*R83,0)</f>
      </c>
      <c r="T83" s="16">
        <f>IFERROR((S83-P83)*((F83-G83)*0.8),0)</f>
      </c>
      <c r="U83" s="20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311</v>
      </c>
      <c r="D84" s="7" t="s">
        <v>227</v>
      </c>
      <c r="E84" s="7" t="s">
        <v>228</v>
      </c>
      <c r="F84" s="7">
        <v>0.3095</v>
      </c>
      <c r="G84" s="7">
        <v>0.29</v>
      </c>
      <c r="H84" s="7" t="s">
        <v>83</v>
      </c>
      <c r="I84" s="7" t="s">
        <v>38</v>
      </c>
      <c r="J84" s="7" t="s">
        <v>416</v>
      </c>
      <c r="K84" s="8">
        <f>F84*1.06</f>
      </c>
      <c r="L84" s="9">
        <v>191.774</v>
      </c>
      <c r="M84" s="10">
        <v>239</v>
      </c>
      <c r="N84" s="10">
        <v>369</v>
      </c>
      <c r="O84" s="11">
        <f>IFERROR((N84-M84)*K84,0)</f>
      </c>
      <c r="P84" s="10">
        <v>154</v>
      </c>
      <c r="Q84" s="10">
        <v>239</v>
      </c>
      <c r="R84" s="10">
        <v>369</v>
      </c>
      <c r="S84" s="8">
        <f>IFERROR((P84/Q84)*R84,0)</f>
      </c>
      <c r="T84" s="8">
        <f>IFERROR((S84-P84)*((F84-G84)*0.8),0)</f>
      </c>
      <c r="U84" s="12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311</v>
      </c>
      <c r="D85" s="15" t="s">
        <v>349</v>
      </c>
      <c r="E85" s="15" t="s">
        <v>328</v>
      </c>
      <c r="F85" s="15">
        <v>0.145</v>
      </c>
      <c r="G85" s="15">
        <v>0.145</v>
      </c>
      <c r="H85" s="15" t="s">
        <v>83</v>
      </c>
      <c r="I85" s="15" t="s">
        <v>38</v>
      </c>
      <c r="J85" s="15" t="s">
        <v>417</v>
      </c>
      <c r="K85" s="16">
        <f>F85*1.06</f>
      </c>
      <c r="L85" s="17">
        <v>78.6447</v>
      </c>
      <c r="M85" s="18">
        <v>239</v>
      </c>
      <c r="N85" s="18">
        <v>369</v>
      </c>
      <c r="O85" s="19">
        <f>IFERROR((N85-M85)*K85,0)</f>
      </c>
      <c r="P85" s="24" t="s">
        <v>85</v>
      </c>
      <c r="Q85" s="24" t="s">
        <v>85</v>
      </c>
      <c r="R85" s="24" t="s">
        <v>85</v>
      </c>
      <c r="S85" s="24" t="s">
        <v>85</v>
      </c>
      <c r="T85" s="16">
        <v>0</v>
      </c>
      <c r="U85" s="20">
        <f>ROUND(L85+O85-T85,2)</f>
      </c>
      <c r="V85" s="21">
        <v>0</v>
      </c>
      <c r="W85" s="22">
        <f>(U85-L85)*V85/100000</f>
      </c>
    </row>
    <row r="86" spans="1:23" x14ac:dyDescent="0.25">
      <c r="A86" s="7">
        <v>83</v>
      </c>
      <c r="B86" s="7">
        <f>D86&amp;H86</f>
      </c>
      <c r="C86" s="7" t="s">
        <v>311</v>
      </c>
      <c r="D86" s="7" t="s">
        <v>190</v>
      </c>
      <c r="E86" s="7" t="s">
        <v>191</v>
      </c>
      <c r="F86" s="7">
        <v>1.027</v>
      </c>
      <c r="G86" s="7">
        <v>0.967</v>
      </c>
      <c r="H86" s="7" t="s">
        <v>83</v>
      </c>
      <c r="I86" s="7" t="s">
        <v>38</v>
      </c>
      <c r="J86" s="7" t="s">
        <v>418</v>
      </c>
      <c r="K86" s="8">
        <f>F86*1.06</f>
      </c>
      <c r="L86" s="9">
        <v>605.4238</v>
      </c>
      <c r="M86" s="10">
        <v>239</v>
      </c>
      <c r="N86" s="10">
        <v>369</v>
      </c>
      <c r="O86" s="11">
        <f>IFERROR((N86-M86)*K86,0)</f>
      </c>
      <c r="P86" s="10">
        <v>154</v>
      </c>
      <c r="Q86" s="10">
        <v>239</v>
      </c>
      <c r="R86" s="10">
        <v>369</v>
      </c>
      <c r="S86" s="8">
        <f>IFERROR((P86/Q86)*R86,0)</f>
      </c>
      <c r="T86" s="8">
        <f>IFERROR((S86-P86)*((F86-G86)*0.8),0)</f>
      </c>
      <c r="U86" s="12">
        <f>ROUND(L86+O86-T86,2)</f>
      </c>
      <c r="V86" s="13">
        <v>0</v>
      </c>
      <c r="W86" s="14">
        <f>(U86-L86)*V86/100000</f>
      </c>
    </row>
    <row r="87" spans="1:23" x14ac:dyDescent="0.25">
      <c r="A87" s="25" t="s">
        <v>122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6">
        <f>SUM(V4:V86)</f>
      </c>
      <c r="W87" s="27">
        <f>SUM(W4:W86)</f>
      </c>
    </row>
  </sheetData>
  <autoFilter ref="A3:W86"/>
  <mergeCells count="3">
    <mergeCell ref="A1:W1"/>
    <mergeCell ref="A2:D2"/>
    <mergeCell ref="A87:U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87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419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W87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311</v>
      </c>
      <c r="D4" s="7" t="s">
        <v>169</v>
      </c>
      <c r="E4" s="7" t="s">
        <v>170</v>
      </c>
      <c r="F4" s="7">
        <v>0.035</v>
      </c>
      <c r="G4" s="7">
        <v>0.035</v>
      </c>
      <c r="H4" s="7" t="s">
        <v>37</v>
      </c>
      <c r="I4" s="7" t="s">
        <v>38</v>
      </c>
      <c r="J4" s="7" t="s">
        <v>312</v>
      </c>
      <c r="K4" s="8">
        <f>F4*1.06</f>
      </c>
      <c r="L4" s="9">
        <v>33.99</v>
      </c>
      <c r="M4" s="28">
        <v>369</v>
      </c>
      <c r="N4" s="28"/>
      <c r="O4" s="29">
        <f>IFERROR((N4-M4)*K4,0)</f>
      </c>
      <c r="P4" s="36" t="s">
        <v>85</v>
      </c>
      <c r="Q4" s="36" t="s">
        <v>85</v>
      </c>
      <c r="R4" s="36" t="s">
        <v>85</v>
      </c>
      <c r="S4" s="36" t="s">
        <v>85</v>
      </c>
      <c r="T4" s="30">
        <v>0</v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311</v>
      </c>
      <c r="D5" s="15" t="s">
        <v>167</v>
      </c>
      <c r="E5" s="15" t="s">
        <v>82</v>
      </c>
      <c r="F5" s="15">
        <v>0.317</v>
      </c>
      <c r="G5" s="15">
        <v>0.279</v>
      </c>
      <c r="H5" s="15" t="s">
        <v>37</v>
      </c>
      <c r="I5" s="15" t="s">
        <v>38</v>
      </c>
      <c r="J5" s="15" t="s">
        <v>313</v>
      </c>
      <c r="K5" s="16">
        <f>F5*1.06</f>
      </c>
      <c r="L5" s="17">
        <v>215.99</v>
      </c>
      <c r="M5" s="32">
        <v>369</v>
      </c>
      <c r="N5" s="32"/>
      <c r="O5" s="33">
        <f>IFERROR((N5-M5)*K5,0)</f>
      </c>
      <c r="P5" s="32">
        <v>237.76569037656904</v>
      </c>
      <c r="Q5" s="32">
        <v>369</v>
      </c>
      <c r="R5" s="32"/>
      <c r="S5" s="34">
        <f>IFERROR((P5/Q5)*R5,0)</f>
      </c>
      <c r="T5" s="34">
        <f>IFERROR((S5-P5)*((F5-G5)*0.8),0)</f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311</v>
      </c>
      <c r="D6" s="7" t="s">
        <v>248</v>
      </c>
      <c r="E6" s="7" t="s">
        <v>49</v>
      </c>
      <c r="F6" s="7">
        <v>0.116</v>
      </c>
      <c r="G6" s="7">
        <v>0.116</v>
      </c>
      <c r="H6" s="7" t="s">
        <v>37</v>
      </c>
      <c r="I6" s="7" t="s">
        <v>38</v>
      </c>
      <c r="J6" s="7" t="s">
        <v>314</v>
      </c>
      <c r="K6" s="8">
        <f>F6*1.06</f>
      </c>
      <c r="L6" s="9">
        <v>106.6</v>
      </c>
      <c r="M6" s="28">
        <v>369</v>
      </c>
      <c r="N6" s="28"/>
      <c r="O6" s="29">
        <f>IFERROR((N6-M6)*K6,0)</f>
      </c>
      <c r="P6" s="36" t="s">
        <v>85</v>
      </c>
      <c r="Q6" s="36" t="s">
        <v>85</v>
      </c>
      <c r="R6" s="36" t="s">
        <v>85</v>
      </c>
      <c r="S6" s="36" t="s">
        <v>85</v>
      </c>
      <c r="T6" s="30">
        <v>0</v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311</v>
      </c>
      <c r="D7" s="15" t="s">
        <v>81</v>
      </c>
      <c r="E7" s="15" t="s">
        <v>82</v>
      </c>
      <c r="F7" s="15">
        <v>1.068</v>
      </c>
      <c r="G7" s="15">
        <v>1.068</v>
      </c>
      <c r="H7" s="15" t="s">
        <v>37</v>
      </c>
      <c r="I7" s="15" t="s">
        <v>71</v>
      </c>
      <c r="J7" s="15" t="s">
        <v>315</v>
      </c>
      <c r="K7" s="16">
        <f>F7*1.06</f>
      </c>
      <c r="L7" s="17">
        <v>598.27</v>
      </c>
      <c r="M7" s="32">
        <v>377</v>
      </c>
      <c r="N7" s="32"/>
      <c r="O7" s="33">
        <f>IFERROR((N7-M7)*K7,0)</f>
      </c>
      <c r="P7" s="37" t="s">
        <v>85</v>
      </c>
      <c r="Q7" s="37" t="s">
        <v>85</v>
      </c>
      <c r="R7" s="37" t="s">
        <v>85</v>
      </c>
      <c r="S7" s="37" t="s">
        <v>85</v>
      </c>
      <c r="T7" s="34">
        <v>0</v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311</v>
      </c>
      <c r="D8" s="7" t="s">
        <v>316</v>
      </c>
      <c r="E8" s="7" t="s">
        <v>317</v>
      </c>
      <c r="F8" s="7">
        <v>0.435</v>
      </c>
      <c r="G8" s="7">
        <v>0.377</v>
      </c>
      <c r="H8" s="7" t="s">
        <v>37</v>
      </c>
      <c r="I8" s="7" t="s">
        <v>71</v>
      </c>
      <c r="J8" s="7" t="s">
        <v>318</v>
      </c>
      <c r="K8" s="8">
        <f>F8*1.06</f>
      </c>
      <c r="L8" s="9">
        <v>282.98</v>
      </c>
      <c r="M8" s="28">
        <v>377</v>
      </c>
      <c r="N8" s="28"/>
      <c r="O8" s="29">
        <f>IFERROR((N8-M8)*K8,0)</f>
      </c>
      <c r="P8" s="28">
        <v>237.76569037656904</v>
      </c>
      <c r="Q8" s="28">
        <v>369</v>
      </c>
      <c r="R8" s="28"/>
      <c r="S8" s="30">
        <f>IFERROR((P8/Q8)*R8,0)</f>
      </c>
      <c r="T8" s="30">
        <f>IFERROR((S8-P8)*((F8-G8)*0.8),0)</f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311</v>
      </c>
      <c r="D9" s="15" t="s">
        <v>227</v>
      </c>
      <c r="E9" s="15" t="s">
        <v>228</v>
      </c>
      <c r="F9" s="15">
        <v>0.3095</v>
      </c>
      <c r="G9" s="15">
        <v>0.29</v>
      </c>
      <c r="H9" s="15" t="s">
        <v>37</v>
      </c>
      <c r="I9" s="15" t="s">
        <v>38</v>
      </c>
      <c r="J9" s="15" t="s">
        <v>319</v>
      </c>
      <c r="K9" s="16">
        <f>F9*1.06</f>
      </c>
      <c r="L9" s="17">
        <v>233.83</v>
      </c>
      <c r="M9" s="32">
        <v>369</v>
      </c>
      <c r="N9" s="32"/>
      <c r="O9" s="33">
        <f>IFERROR((N9-M9)*K9,0)</f>
      </c>
      <c r="P9" s="32">
        <v>237.76569037656904</v>
      </c>
      <c r="Q9" s="32">
        <v>369</v>
      </c>
      <c r="R9" s="32"/>
      <c r="S9" s="34">
        <f>IFERROR((P9/Q9)*R9,0)</f>
      </c>
      <c r="T9" s="34">
        <f>IFERROR((S9-P9)*((F9-G9)*0.8),0)</f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311</v>
      </c>
      <c r="D10" s="7" t="s">
        <v>230</v>
      </c>
      <c r="E10" s="7" t="s">
        <v>231</v>
      </c>
      <c r="F10" s="7">
        <v>0.3095</v>
      </c>
      <c r="G10" s="7">
        <v>0.29</v>
      </c>
      <c r="H10" s="7" t="s">
        <v>37</v>
      </c>
      <c r="I10" s="7" t="s">
        <v>38</v>
      </c>
      <c r="J10" s="7" t="s">
        <v>320</v>
      </c>
      <c r="K10" s="8">
        <f>F10*1.06</f>
      </c>
      <c r="L10" s="9">
        <v>233.84</v>
      </c>
      <c r="M10" s="28">
        <v>369</v>
      </c>
      <c r="N10" s="28"/>
      <c r="O10" s="29">
        <f>IFERROR((N10-M10)*K10,0)</f>
      </c>
      <c r="P10" s="28">
        <v>237.76569037656904</v>
      </c>
      <c r="Q10" s="28">
        <v>369</v>
      </c>
      <c r="R10" s="28"/>
      <c r="S10" s="30">
        <f>IFERROR((P10/Q10)*R10,0)</f>
      </c>
      <c r="T10" s="30">
        <f>IFERROR((S10-P10)*((F10-G10)*0.8),0)</f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311</v>
      </c>
      <c r="D11" s="15" t="s">
        <v>102</v>
      </c>
      <c r="E11" s="15" t="s">
        <v>103</v>
      </c>
      <c r="F11" s="15">
        <v>1.042</v>
      </c>
      <c r="G11" s="15">
        <v>1.042</v>
      </c>
      <c r="H11" s="15" t="s">
        <v>37</v>
      </c>
      <c r="I11" s="15" t="s">
        <v>38</v>
      </c>
      <c r="J11" s="15" t="s">
        <v>321</v>
      </c>
      <c r="K11" s="16">
        <f>F11*1.06</f>
      </c>
      <c r="L11" s="17">
        <v>578.28</v>
      </c>
      <c r="M11" s="32">
        <v>369</v>
      </c>
      <c r="N11" s="32"/>
      <c r="O11" s="33">
        <f>IFERROR((N11-M11)*K11,0)</f>
      </c>
      <c r="P11" s="37" t="s">
        <v>85</v>
      </c>
      <c r="Q11" s="37" t="s">
        <v>85</v>
      </c>
      <c r="R11" s="37" t="s">
        <v>85</v>
      </c>
      <c r="S11" s="37" t="s">
        <v>85</v>
      </c>
      <c r="T11" s="34">
        <v>0</v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311</v>
      </c>
      <c r="D12" s="7" t="s">
        <v>116</v>
      </c>
      <c r="E12" s="7" t="s">
        <v>117</v>
      </c>
      <c r="F12" s="7">
        <v>0.322</v>
      </c>
      <c r="G12" s="7">
        <v>0.29</v>
      </c>
      <c r="H12" s="7" t="s">
        <v>37</v>
      </c>
      <c r="I12" s="7" t="s">
        <v>38</v>
      </c>
      <c r="J12" s="7" t="s">
        <v>322</v>
      </c>
      <c r="K12" s="8">
        <f>F12*1.06</f>
      </c>
      <c r="L12" s="9">
        <v>205.99</v>
      </c>
      <c r="M12" s="28">
        <v>369</v>
      </c>
      <c r="N12" s="28"/>
      <c r="O12" s="29">
        <f>IFERROR((N12-M12)*K12,0)</f>
      </c>
      <c r="P12" s="28">
        <v>237.76569037656904</v>
      </c>
      <c r="Q12" s="28">
        <v>369</v>
      </c>
      <c r="R12" s="28"/>
      <c r="S12" s="30">
        <f>IFERROR((P12/Q12)*R12,0)</f>
      </c>
      <c r="T12" s="30">
        <f>IFERROR((S12-P12)*((F12-G12)*0.8),0)</f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311</v>
      </c>
      <c r="D13" s="15" t="s">
        <v>119</v>
      </c>
      <c r="E13" s="15" t="s">
        <v>120</v>
      </c>
      <c r="F13" s="15">
        <v>0.361</v>
      </c>
      <c r="G13" s="15">
        <v>0.321</v>
      </c>
      <c r="H13" s="15" t="s">
        <v>37</v>
      </c>
      <c r="I13" s="15" t="s">
        <v>38</v>
      </c>
      <c r="J13" s="15" t="s">
        <v>323</v>
      </c>
      <c r="K13" s="16">
        <f>F13*1.06</f>
      </c>
      <c r="L13" s="17">
        <v>215.86</v>
      </c>
      <c r="M13" s="32">
        <v>369</v>
      </c>
      <c r="N13" s="32"/>
      <c r="O13" s="33">
        <f>IFERROR((N13-M13)*K13,0)</f>
      </c>
      <c r="P13" s="32">
        <v>237.76569037656904</v>
      </c>
      <c r="Q13" s="32">
        <v>369</v>
      </c>
      <c r="R13" s="32"/>
      <c r="S13" s="34">
        <f>IFERROR((P13/Q13)*R13,0)</f>
      </c>
      <c r="T13" s="34">
        <f>IFERROR((S13-P13)*((F13-G13)*0.8),0)</f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311</v>
      </c>
      <c r="D14" s="7" t="s">
        <v>179</v>
      </c>
      <c r="E14" s="7" t="s">
        <v>180</v>
      </c>
      <c r="F14" s="7">
        <v>0.145</v>
      </c>
      <c r="G14" s="7">
        <v>0.134</v>
      </c>
      <c r="H14" s="7" t="s">
        <v>37</v>
      </c>
      <c r="I14" s="7" t="s">
        <v>38</v>
      </c>
      <c r="J14" s="7" t="s">
        <v>324</v>
      </c>
      <c r="K14" s="8">
        <f>F14*1.06</f>
      </c>
      <c r="L14" s="9">
        <v>133.83</v>
      </c>
      <c r="M14" s="28">
        <v>369</v>
      </c>
      <c r="N14" s="28"/>
      <c r="O14" s="29">
        <f>IFERROR((N14-M14)*K14,0)</f>
      </c>
      <c r="P14" s="28">
        <v>237.76569037656904</v>
      </c>
      <c r="Q14" s="28">
        <v>369</v>
      </c>
      <c r="R14" s="28"/>
      <c r="S14" s="30">
        <f>IFERROR((P14/Q14)*R14,0)</f>
      </c>
      <c r="T14" s="30">
        <f>IFERROR((S14-P14)*((F14-G14)*0.8),0)</f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311</v>
      </c>
      <c r="D15" s="15" t="s">
        <v>241</v>
      </c>
      <c r="E15" s="15" t="s">
        <v>242</v>
      </c>
      <c r="F15" s="15">
        <v>0.3</v>
      </c>
      <c r="G15" s="15">
        <v>0.24</v>
      </c>
      <c r="H15" s="15" t="s">
        <v>37</v>
      </c>
      <c r="I15" s="15" t="s">
        <v>71</v>
      </c>
      <c r="J15" s="15" t="s">
        <v>325</v>
      </c>
      <c r="K15" s="16">
        <f>F15*1.06</f>
      </c>
      <c r="L15" s="17">
        <v>208.25</v>
      </c>
      <c r="M15" s="32">
        <v>377</v>
      </c>
      <c r="N15" s="32"/>
      <c r="O15" s="33">
        <f>IFERROR((N15-M15)*K15,0)</f>
      </c>
      <c r="P15" s="32">
        <v>237.76569037656904</v>
      </c>
      <c r="Q15" s="32">
        <v>369</v>
      </c>
      <c r="R15" s="32"/>
      <c r="S15" s="34">
        <f>IFERROR((P15/Q15)*R15,0)</f>
      </c>
      <c r="T15" s="34">
        <f>IFERROR((S15-P15)*((F15-G15)*0.8),0)</f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311</v>
      </c>
      <c r="D16" s="7" t="s">
        <v>211</v>
      </c>
      <c r="E16" s="7" t="s">
        <v>212</v>
      </c>
      <c r="F16" s="7">
        <v>1.25</v>
      </c>
      <c r="G16" s="7">
        <v>1.16</v>
      </c>
      <c r="H16" s="7" t="s">
        <v>37</v>
      </c>
      <c r="I16" s="7" t="s">
        <v>71</v>
      </c>
      <c r="J16" s="7" t="s">
        <v>326</v>
      </c>
      <c r="K16" s="8">
        <f>F16*1.06</f>
      </c>
      <c r="L16" s="9">
        <v>974.19</v>
      </c>
      <c r="M16" s="28">
        <v>377</v>
      </c>
      <c r="N16" s="28"/>
      <c r="O16" s="29">
        <f>IFERROR((N16-M16)*K16,0)</f>
      </c>
      <c r="P16" s="28">
        <v>237.76569037656904</v>
      </c>
      <c r="Q16" s="28">
        <v>369</v>
      </c>
      <c r="R16" s="28"/>
      <c r="S16" s="30">
        <f>IFERROR((P16/Q16)*R16,0)</f>
      </c>
      <c r="T16" s="30">
        <f>IFERROR((S16-P16)*((F16-G16)*0.8),0)</f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311</v>
      </c>
      <c r="D17" s="15" t="s">
        <v>327</v>
      </c>
      <c r="E17" s="15" t="s">
        <v>328</v>
      </c>
      <c r="F17" s="15">
        <v>0.435</v>
      </c>
      <c r="G17" s="15">
        <v>0.375</v>
      </c>
      <c r="H17" s="15" t="s">
        <v>37</v>
      </c>
      <c r="I17" s="15" t="s">
        <v>71</v>
      </c>
      <c r="J17" s="15" t="s">
        <v>329</v>
      </c>
      <c r="K17" s="16">
        <f>F17*1.06</f>
      </c>
      <c r="L17" s="17">
        <v>284.05</v>
      </c>
      <c r="M17" s="32">
        <v>377</v>
      </c>
      <c r="N17" s="32"/>
      <c r="O17" s="33">
        <f>IFERROR((N17-M17)*K17,0)</f>
      </c>
      <c r="P17" s="32">
        <v>237.76569037656904</v>
      </c>
      <c r="Q17" s="32">
        <v>369</v>
      </c>
      <c r="R17" s="32"/>
      <c r="S17" s="34">
        <f>IFERROR((P17/Q17)*R17,0)</f>
      </c>
      <c r="T17" s="34">
        <f>IFERROR((S17-P17)*((F17-G17)*0.8),0)</f>
      </c>
      <c r="U17" s="35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311</v>
      </c>
      <c r="D18" s="7" t="s">
        <v>113</v>
      </c>
      <c r="E18" s="7" t="s">
        <v>114</v>
      </c>
      <c r="F18" s="7">
        <v>1.25</v>
      </c>
      <c r="G18" s="7">
        <v>1.25</v>
      </c>
      <c r="H18" s="7" t="s">
        <v>37</v>
      </c>
      <c r="I18" s="7" t="s">
        <v>71</v>
      </c>
      <c r="J18" s="7" t="s">
        <v>330</v>
      </c>
      <c r="K18" s="8">
        <f>F18*1.06</f>
      </c>
      <c r="L18" s="9">
        <v>676.93</v>
      </c>
      <c r="M18" s="28">
        <v>377</v>
      </c>
      <c r="N18" s="28"/>
      <c r="O18" s="29">
        <f>IFERROR((N18-M18)*K18,0)</f>
      </c>
      <c r="P18" s="36" t="s">
        <v>85</v>
      </c>
      <c r="Q18" s="36" t="s">
        <v>85</v>
      </c>
      <c r="R18" s="36" t="s">
        <v>85</v>
      </c>
      <c r="S18" s="36" t="s">
        <v>85</v>
      </c>
      <c r="T18" s="30">
        <v>0</v>
      </c>
      <c r="U18" s="31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311</v>
      </c>
      <c r="D19" s="15" t="s">
        <v>331</v>
      </c>
      <c r="E19" s="15" t="s">
        <v>332</v>
      </c>
      <c r="F19" s="15">
        <v>0.913</v>
      </c>
      <c r="G19" s="15">
        <v>0.913</v>
      </c>
      <c r="H19" s="15" t="s">
        <v>37</v>
      </c>
      <c r="I19" s="15" t="s">
        <v>38</v>
      </c>
      <c r="J19" s="15" t="s">
        <v>333</v>
      </c>
      <c r="K19" s="16">
        <f>F19*1.06</f>
      </c>
      <c r="L19" s="17">
        <v>487.97</v>
      </c>
      <c r="M19" s="32">
        <v>369</v>
      </c>
      <c r="N19" s="32"/>
      <c r="O19" s="33">
        <f>IFERROR((N19-M19)*K19,0)</f>
      </c>
      <c r="P19" s="37" t="s">
        <v>85</v>
      </c>
      <c r="Q19" s="37" t="s">
        <v>85</v>
      </c>
      <c r="R19" s="37" t="s">
        <v>85</v>
      </c>
      <c r="S19" s="37" t="s">
        <v>85</v>
      </c>
      <c r="T19" s="34">
        <v>0</v>
      </c>
      <c r="U19" s="35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311</v>
      </c>
      <c r="D20" s="7" t="s">
        <v>334</v>
      </c>
      <c r="E20" s="7" t="s">
        <v>335</v>
      </c>
      <c r="F20" s="7">
        <v>0.913</v>
      </c>
      <c r="G20" s="7">
        <v>0.866</v>
      </c>
      <c r="H20" s="7" t="s">
        <v>37</v>
      </c>
      <c r="I20" s="7" t="s">
        <v>38</v>
      </c>
      <c r="J20" s="7" t="s">
        <v>336</v>
      </c>
      <c r="K20" s="8">
        <f>F20*1.06</f>
      </c>
      <c r="L20" s="9">
        <v>548.66</v>
      </c>
      <c r="M20" s="28">
        <v>369</v>
      </c>
      <c r="N20" s="28"/>
      <c r="O20" s="29">
        <f>IFERROR((N20-M20)*K20,0)</f>
      </c>
      <c r="P20" s="28">
        <v>237.76569037656904</v>
      </c>
      <c r="Q20" s="28">
        <v>369</v>
      </c>
      <c r="R20" s="28"/>
      <c r="S20" s="30">
        <f>IFERROR((P20/Q20)*R20,0)</f>
      </c>
      <c r="T20" s="30">
        <f>IFERROR((S20-P20)*((F20-G20)*0.8),0)</f>
      </c>
      <c r="U20" s="31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311</v>
      </c>
      <c r="D21" s="15" t="s">
        <v>182</v>
      </c>
      <c r="E21" s="15" t="s">
        <v>183</v>
      </c>
      <c r="F21" s="15">
        <v>0.435</v>
      </c>
      <c r="G21" s="15">
        <v>0.425</v>
      </c>
      <c r="H21" s="15" t="s">
        <v>37</v>
      </c>
      <c r="I21" s="15" t="s">
        <v>38</v>
      </c>
      <c r="J21" s="15" t="s">
        <v>337</v>
      </c>
      <c r="K21" s="16">
        <f>F21*1.06</f>
      </c>
      <c r="L21" s="17">
        <v>280.24</v>
      </c>
      <c r="M21" s="32">
        <v>369</v>
      </c>
      <c r="N21" s="32"/>
      <c r="O21" s="33">
        <f>IFERROR((N21-M21)*K21,0)</f>
      </c>
      <c r="P21" s="32">
        <v>237.76569037656904</v>
      </c>
      <c r="Q21" s="32">
        <v>369</v>
      </c>
      <c r="R21" s="32"/>
      <c r="S21" s="34">
        <f>IFERROR((P21/Q21)*R21,0)</f>
      </c>
      <c r="T21" s="34">
        <f>IFERROR((S21-P21)*((F21-G21)*0.8),0)</f>
      </c>
      <c r="U21" s="35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311</v>
      </c>
      <c r="D22" s="7" t="s">
        <v>246</v>
      </c>
      <c r="E22" s="7" t="s">
        <v>242</v>
      </c>
      <c r="F22" s="7">
        <v>0.287</v>
      </c>
      <c r="G22" s="7">
        <v>0.252</v>
      </c>
      <c r="H22" s="7" t="s">
        <v>37</v>
      </c>
      <c r="I22" s="7" t="s">
        <v>71</v>
      </c>
      <c r="J22" s="7" t="s">
        <v>338</v>
      </c>
      <c r="K22" s="8">
        <f>F22*1.06</f>
      </c>
      <c r="L22" s="9">
        <v>201.76</v>
      </c>
      <c r="M22" s="28">
        <v>377</v>
      </c>
      <c r="N22" s="28"/>
      <c r="O22" s="29">
        <f>IFERROR((N22-M22)*K22,0)</f>
      </c>
      <c r="P22" s="28">
        <v>237.76569037656904</v>
      </c>
      <c r="Q22" s="28">
        <v>369</v>
      </c>
      <c r="R22" s="28"/>
      <c r="S22" s="30">
        <f>IFERROR((P22/Q22)*R22,0)</f>
      </c>
      <c r="T22" s="30">
        <f>IFERROR((S22-P22)*((F22-G22)*0.8),0)</f>
      </c>
      <c r="U22" s="31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311</v>
      </c>
      <c r="D23" s="15" t="s">
        <v>244</v>
      </c>
      <c r="E23" s="15" t="s">
        <v>242</v>
      </c>
      <c r="F23" s="15">
        <v>0.304</v>
      </c>
      <c r="G23" s="15">
        <v>0.264</v>
      </c>
      <c r="H23" s="15" t="s">
        <v>37</v>
      </c>
      <c r="I23" s="15" t="s">
        <v>71</v>
      </c>
      <c r="J23" s="15" t="s">
        <v>339</v>
      </c>
      <c r="K23" s="16">
        <f>F23*1.06</f>
      </c>
      <c r="L23" s="17">
        <v>203.95</v>
      </c>
      <c r="M23" s="32">
        <v>377</v>
      </c>
      <c r="N23" s="32"/>
      <c r="O23" s="33">
        <f>IFERROR((N23-M23)*K23,0)</f>
      </c>
      <c r="P23" s="32">
        <v>237.76569037656904</v>
      </c>
      <c r="Q23" s="32">
        <v>369</v>
      </c>
      <c r="R23" s="32"/>
      <c r="S23" s="34">
        <f>IFERROR((P23/Q23)*R23,0)</f>
      </c>
      <c r="T23" s="34">
        <f>IFERROR((S23-P23)*((F23-G23)*0.8),0)</f>
      </c>
      <c r="U23" s="35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311</v>
      </c>
      <c r="D24" s="7" t="s">
        <v>340</v>
      </c>
      <c r="E24" s="7" t="s">
        <v>242</v>
      </c>
      <c r="F24" s="7">
        <v>0.287</v>
      </c>
      <c r="G24" s="7">
        <v>0.247</v>
      </c>
      <c r="H24" s="7" t="s">
        <v>37</v>
      </c>
      <c r="I24" s="7" t="s">
        <v>71</v>
      </c>
      <c r="J24" s="7" t="s">
        <v>341</v>
      </c>
      <c r="K24" s="8">
        <f>F24*1.06</f>
      </c>
      <c r="L24" s="9">
        <v>199.93</v>
      </c>
      <c r="M24" s="28">
        <v>377</v>
      </c>
      <c r="N24" s="28"/>
      <c r="O24" s="29">
        <f>IFERROR((N24-M24)*K24,0)</f>
      </c>
      <c r="P24" s="28">
        <v>237.76569037656904</v>
      </c>
      <c r="Q24" s="28">
        <v>369</v>
      </c>
      <c r="R24" s="28"/>
      <c r="S24" s="30">
        <f>IFERROR((P24/Q24)*R24,0)</f>
      </c>
      <c r="T24" s="30">
        <f>IFERROR((S24-P24)*((F24-G24)*0.8),0)</f>
      </c>
      <c r="U24" s="31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311</v>
      </c>
      <c r="D25" s="15" t="s">
        <v>342</v>
      </c>
      <c r="E25" s="15" t="s">
        <v>343</v>
      </c>
      <c r="F25" s="15">
        <v>0.193</v>
      </c>
      <c r="G25" s="15">
        <v>0.169</v>
      </c>
      <c r="H25" s="15" t="s">
        <v>37</v>
      </c>
      <c r="I25" s="15" t="s">
        <v>71</v>
      </c>
      <c r="J25" s="15" t="s">
        <v>344</v>
      </c>
      <c r="K25" s="16">
        <f>F25*1.06</f>
      </c>
      <c r="L25" s="17">
        <v>126.96</v>
      </c>
      <c r="M25" s="32">
        <v>377</v>
      </c>
      <c r="N25" s="32"/>
      <c r="O25" s="33">
        <f>IFERROR((N25-M25)*K25,0)</f>
      </c>
      <c r="P25" s="32">
        <v>237.76569037656904</v>
      </c>
      <c r="Q25" s="32">
        <v>369</v>
      </c>
      <c r="R25" s="32"/>
      <c r="S25" s="34">
        <f>IFERROR((P25/Q25)*R25,0)</f>
      </c>
      <c r="T25" s="34">
        <f>IFERROR((S25-P25)*((F25-G25)*0.8),0)</f>
      </c>
      <c r="U25" s="35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311</v>
      </c>
      <c r="D26" s="7" t="s">
        <v>345</v>
      </c>
      <c r="E26" s="7" t="s">
        <v>346</v>
      </c>
      <c r="F26" s="7">
        <v>0.454</v>
      </c>
      <c r="G26" s="7">
        <v>0.442</v>
      </c>
      <c r="H26" s="7" t="s">
        <v>37</v>
      </c>
      <c r="I26" s="7" t="s">
        <v>38</v>
      </c>
      <c r="J26" s="7" t="s">
        <v>347</v>
      </c>
      <c r="K26" s="8">
        <f>F26*1.06</f>
      </c>
      <c r="L26" s="9">
        <v>293.94</v>
      </c>
      <c r="M26" s="28">
        <v>369</v>
      </c>
      <c r="N26" s="28"/>
      <c r="O26" s="29">
        <f>IFERROR((N26-M26)*K26,0)</f>
      </c>
      <c r="P26" s="28">
        <v>237.76569037656904</v>
      </c>
      <c r="Q26" s="28">
        <v>369</v>
      </c>
      <c r="R26" s="28"/>
      <c r="S26" s="30">
        <f>IFERROR((P26/Q26)*R26,0)</f>
      </c>
      <c r="T26" s="30">
        <f>IFERROR((S26-P26)*((F26-G26)*0.8),0)</f>
      </c>
      <c r="U26" s="31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311</v>
      </c>
      <c r="D27" s="15" t="s">
        <v>279</v>
      </c>
      <c r="E27" s="15" t="s">
        <v>280</v>
      </c>
      <c r="F27" s="15">
        <v>0.052</v>
      </c>
      <c r="G27" s="15">
        <v>0.052</v>
      </c>
      <c r="H27" s="15" t="s">
        <v>37</v>
      </c>
      <c r="I27" s="15" t="s">
        <v>38</v>
      </c>
      <c r="J27" s="15" t="s">
        <v>348</v>
      </c>
      <c r="K27" s="16">
        <f>F27*1.06</f>
      </c>
      <c r="L27" s="17">
        <v>49.2</v>
      </c>
      <c r="M27" s="32">
        <v>369</v>
      </c>
      <c r="N27" s="32"/>
      <c r="O27" s="33">
        <f>IFERROR((N27-M27)*K27,0)</f>
      </c>
      <c r="P27" s="37" t="s">
        <v>85</v>
      </c>
      <c r="Q27" s="37" t="s">
        <v>85</v>
      </c>
      <c r="R27" s="37" t="s">
        <v>85</v>
      </c>
      <c r="S27" s="37" t="s">
        <v>85</v>
      </c>
      <c r="T27" s="34">
        <v>0</v>
      </c>
      <c r="U27" s="35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311</v>
      </c>
      <c r="D28" s="7" t="s">
        <v>349</v>
      </c>
      <c r="E28" s="7" t="s">
        <v>328</v>
      </c>
      <c r="F28" s="7">
        <v>0.145</v>
      </c>
      <c r="G28" s="7">
        <v>0.145</v>
      </c>
      <c r="H28" s="7" t="s">
        <v>37</v>
      </c>
      <c r="I28" s="7" t="s">
        <v>38</v>
      </c>
      <c r="J28" s="7" t="s">
        <v>350</v>
      </c>
      <c r="K28" s="8">
        <f>F28*1.06</f>
      </c>
      <c r="L28" s="9">
        <v>97.46</v>
      </c>
      <c r="M28" s="28">
        <v>369</v>
      </c>
      <c r="N28" s="28"/>
      <c r="O28" s="29">
        <f>IFERROR((N28-M28)*K28,0)</f>
      </c>
      <c r="P28" s="36" t="s">
        <v>85</v>
      </c>
      <c r="Q28" s="36" t="s">
        <v>85</v>
      </c>
      <c r="R28" s="36" t="s">
        <v>85</v>
      </c>
      <c r="S28" s="36" t="s">
        <v>85</v>
      </c>
      <c r="T28" s="30">
        <v>0</v>
      </c>
      <c r="U28" s="31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311</v>
      </c>
      <c r="D29" s="15" t="s">
        <v>198</v>
      </c>
      <c r="E29" s="15" t="s">
        <v>199</v>
      </c>
      <c r="F29" s="15">
        <v>0.164</v>
      </c>
      <c r="G29" s="15">
        <v>0.1</v>
      </c>
      <c r="H29" s="15" t="s">
        <v>37</v>
      </c>
      <c r="I29" s="15" t="s">
        <v>38</v>
      </c>
      <c r="J29" s="15" t="s">
        <v>351</v>
      </c>
      <c r="K29" s="16">
        <f>F29*1.06</f>
      </c>
      <c r="L29" s="17">
        <v>110.52</v>
      </c>
      <c r="M29" s="32">
        <v>369</v>
      </c>
      <c r="N29" s="32"/>
      <c r="O29" s="33">
        <f>IFERROR((N29-M29)*K29,0)</f>
      </c>
      <c r="P29" s="32">
        <v>237.76569037656904</v>
      </c>
      <c r="Q29" s="32">
        <v>369</v>
      </c>
      <c r="R29" s="32"/>
      <c r="S29" s="34">
        <f>IFERROR((P29/Q29)*R29,0)</f>
      </c>
      <c r="T29" s="34">
        <f>IFERROR((S29-P29)*((F29-G29)*0.8),0)</f>
      </c>
      <c r="U29" s="35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311</v>
      </c>
      <c r="D30" s="7" t="s">
        <v>220</v>
      </c>
      <c r="E30" s="7" t="s">
        <v>221</v>
      </c>
      <c r="F30" s="7">
        <v>0.168</v>
      </c>
      <c r="G30" s="7">
        <v>0.163</v>
      </c>
      <c r="H30" s="7" t="s">
        <v>37</v>
      </c>
      <c r="I30" s="7" t="s">
        <v>38</v>
      </c>
      <c r="J30" s="7" t="s">
        <v>352</v>
      </c>
      <c r="K30" s="8">
        <f>F30*1.06</f>
      </c>
      <c r="L30" s="9">
        <v>200.26</v>
      </c>
      <c r="M30" s="28">
        <v>369</v>
      </c>
      <c r="N30" s="28"/>
      <c r="O30" s="29">
        <f>IFERROR((N30-M30)*K30,0)</f>
      </c>
      <c r="P30" s="28">
        <v>237.76569037656904</v>
      </c>
      <c r="Q30" s="28">
        <v>369</v>
      </c>
      <c r="R30" s="28"/>
      <c r="S30" s="30">
        <f>IFERROR((P30/Q30)*R30,0)</f>
      </c>
      <c r="T30" s="30">
        <f>IFERROR((S30-P30)*((F30-G30)*0.8),0)</f>
      </c>
      <c r="U30" s="31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311</v>
      </c>
      <c r="D31" s="15" t="s">
        <v>173</v>
      </c>
      <c r="E31" s="15" t="s">
        <v>174</v>
      </c>
      <c r="F31" s="15">
        <v>0.671</v>
      </c>
      <c r="G31" s="15">
        <v>0.622</v>
      </c>
      <c r="H31" s="15" t="s">
        <v>37</v>
      </c>
      <c r="I31" s="15" t="s">
        <v>71</v>
      </c>
      <c r="J31" s="15" t="s">
        <v>353</v>
      </c>
      <c r="K31" s="16">
        <f>F31*1.06</f>
      </c>
      <c r="L31" s="17">
        <v>563.4</v>
      </c>
      <c r="M31" s="32">
        <v>377</v>
      </c>
      <c r="N31" s="32"/>
      <c r="O31" s="33">
        <f>IFERROR((N31-M31)*K31,0)</f>
      </c>
      <c r="P31" s="32">
        <v>237.76569037656904</v>
      </c>
      <c r="Q31" s="32">
        <v>369</v>
      </c>
      <c r="R31" s="32"/>
      <c r="S31" s="34">
        <f>IFERROR((P31/Q31)*R31,0)</f>
      </c>
      <c r="T31" s="34">
        <f>IFERROR((S31-P31)*((F31-G31)*0.8),0)</f>
      </c>
      <c r="U31" s="35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311</v>
      </c>
      <c r="D32" s="7" t="s">
        <v>354</v>
      </c>
      <c r="E32" s="7" t="s">
        <v>82</v>
      </c>
      <c r="F32" s="7">
        <v>0.1</v>
      </c>
      <c r="G32" s="7">
        <v>0.094</v>
      </c>
      <c r="H32" s="7" t="s">
        <v>37</v>
      </c>
      <c r="I32" s="7" t="s">
        <v>38</v>
      </c>
      <c r="J32" s="7" t="s">
        <v>355</v>
      </c>
      <c r="K32" s="8">
        <f>F32*1.06</f>
      </c>
      <c r="L32" s="9">
        <v>87.79</v>
      </c>
      <c r="M32" s="28">
        <v>369</v>
      </c>
      <c r="N32" s="28"/>
      <c r="O32" s="29">
        <f>IFERROR((N32-M32)*K32,0)</f>
      </c>
      <c r="P32" s="28">
        <v>237.76569037656904</v>
      </c>
      <c r="Q32" s="28">
        <v>369</v>
      </c>
      <c r="R32" s="28"/>
      <c r="S32" s="30">
        <f>IFERROR((P32/Q32)*R32,0)</f>
      </c>
      <c r="T32" s="30">
        <f>IFERROR((S32-P32)*((F32-G32)*0.8),0)</f>
      </c>
      <c r="U32" s="31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311</v>
      </c>
      <c r="D33" s="15" t="s">
        <v>356</v>
      </c>
      <c r="E33" s="15" t="s">
        <v>357</v>
      </c>
      <c r="F33" s="15">
        <v>0.762</v>
      </c>
      <c r="G33" s="15">
        <v>0.735</v>
      </c>
      <c r="H33" s="15" t="s">
        <v>54</v>
      </c>
      <c r="I33" s="15" t="s">
        <v>38</v>
      </c>
      <c r="J33" s="15" t="s">
        <v>358</v>
      </c>
      <c r="K33" s="16">
        <f>F33*1.06</f>
      </c>
      <c r="L33" s="17">
        <v>464.42</v>
      </c>
      <c r="M33" s="32">
        <v>369</v>
      </c>
      <c r="N33" s="32"/>
      <c r="O33" s="33">
        <f>IFERROR((N33-M33)*K33,0)</f>
      </c>
      <c r="P33" s="32">
        <v>237.76569037656904</v>
      </c>
      <c r="Q33" s="32">
        <v>369</v>
      </c>
      <c r="R33" s="32"/>
      <c r="S33" s="34">
        <f>IFERROR((P33/Q33)*R33,0)</f>
      </c>
      <c r="T33" s="34">
        <f>IFERROR((S33-P33)*((F33-G33)*0.8),0)</f>
      </c>
      <c r="U33" s="35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311</v>
      </c>
      <c r="D34" s="7" t="s">
        <v>136</v>
      </c>
      <c r="E34" s="7" t="s">
        <v>137</v>
      </c>
      <c r="F34" s="7">
        <v>0.254</v>
      </c>
      <c r="G34" s="7">
        <v>0.254</v>
      </c>
      <c r="H34" s="7" t="s">
        <v>54</v>
      </c>
      <c r="I34" s="7" t="s">
        <v>38</v>
      </c>
      <c r="J34" s="7" t="s">
        <v>359</v>
      </c>
      <c r="K34" s="8">
        <f>F34*1.06</f>
      </c>
      <c r="L34" s="9">
        <v>149.47</v>
      </c>
      <c r="M34" s="28">
        <v>369</v>
      </c>
      <c r="N34" s="28"/>
      <c r="O34" s="29">
        <f>IFERROR((N34-M34)*K34,0)</f>
      </c>
      <c r="P34" s="36" t="s">
        <v>85</v>
      </c>
      <c r="Q34" s="36" t="s">
        <v>85</v>
      </c>
      <c r="R34" s="36" t="s">
        <v>85</v>
      </c>
      <c r="S34" s="36" t="s">
        <v>85</v>
      </c>
      <c r="T34" s="30">
        <v>0</v>
      </c>
      <c r="U34" s="31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311</v>
      </c>
      <c r="D35" s="15" t="s">
        <v>65</v>
      </c>
      <c r="E35" s="15" t="s">
        <v>66</v>
      </c>
      <c r="F35" s="15">
        <v>0.077</v>
      </c>
      <c r="G35" s="15">
        <v>0.069</v>
      </c>
      <c r="H35" s="15" t="s">
        <v>60</v>
      </c>
      <c r="I35" s="15" t="s">
        <v>38</v>
      </c>
      <c r="J35" s="15" t="s">
        <v>360</v>
      </c>
      <c r="K35" s="16">
        <f>F35*1.06</f>
      </c>
      <c r="L35" s="17">
        <v>82.03</v>
      </c>
      <c r="M35" s="32">
        <v>369</v>
      </c>
      <c r="N35" s="32"/>
      <c r="O35" s="33">
        <f>IFERROR((N35-M35)*K35,0)</f>
      </c>
      <c r="P35" s="32">
        <v>237.76569037656904</v>
      </c>
      <c r="Q35" s="32">
        <v>369</v>
      </c>
      <c r="R35" s="32"/>
      <c r="S35" s="34">
        <f>IFERROR((P35/Q35)*R35,0)</f>
      </c>
      <c r="T35" s="34">
        <f>IFERROR((S35-P35)*((F35-G35)*0.8),0)</f>
      </c>
      <c r="U35" s="35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311</v>
      </c>
      <c r="D36" s="7" t="s">
        <v>62</v>
      </c>
      <c r="E36" s="7" t="s">
        <v>63</v>
      </c>
      <c r="F36" s="7">
        <v>0.096</v>
      </c>
      <c r="G36" s="7">
        <v>0.084</v>
      </c>
      <c r="H36" s="7" t="s">
        <v>60</v>
      </c>
      <c r="I36" s="7" t="s">
        <v>38</v>
      </c>
      <c r="J36" s="7" t="s">
        <v>361</v>
      </c>
      <c r="K36" s="8">
        <f>F36*1.06</f>
      </c>
      <c r="L36" s="9">
        <v>111.99</v>
      </c>
      <c r="M36" s="28">
        <v>369</v>
      </c>
      <c r="N36" s="28"/>
      <c r="O36" s="29">
        <f>IFERROR((N36-M36)*K36,0)</f>
      </c>
      <c r="P36" s="28">
        <v>237.76569037656904</v>
      </c>
      <c r="Q36" s="28">
        <v>369</v>
      </c>
      <c r="R36" s="28"/>
      <c r="S36" s="30">
        <f>IFERROR((P36/Q36)*R36,0)</f>
      </c>
      <c r="T36" s="30">
        <f>IFERROR((S36-P36)*((F36-G36)*0.8),0)</f>
      </c>
      <c r="U36" s="31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311</v>
      </c>
      <c r="D37" s="15" t="s">
        <v>334</v>
      </c>
      <c r="E37" s="15" t="s">
        <v>335</v>
      </c>
      <c r="F37" s="15">
        <v>0.913</v>
      </c>
      <c r="G37" s="15">
        <v>0.866</v>
      </c>
      <c r="H37" s="15" t="s">
        <v>60</v>
      </c>
      <c r="I37" s="15" t="s">
        <v>38</v>
      </c>
      <c r="J37" s="15" t="s">
        <v>362</v>
      </c>
      <c r="K37" s="16">
        <f>F37*1.06</f>
      </c>
      <c r="L37" s="17">
        <v>542.51</v>
      </c>
      <c r="M37" s="32">
        <v>369</v>
      </c>
      <c r="N37" s="32"/>
      <c r="O37" s="33">
        <f>IFERROR((N37-M37)*K37,0)</f>
      </c>
      <c r="P37" s="32">
        <v>237.76569037656904</v>
      </c>
      <c r="Q37" s="32">
        <v>369</v>
      </c>
      <c r="R37" s="32"/>
      <c r="S37" s="34">
        <f>IFERROR((P37/Q37)*R37,0)</f>
      </c>
      <c r="T37" s="34">
        <f>IFERROR((S37-P37)*((F37-G37)*0.8),0)</f>
      </c>
      <c r="U37" s="35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311</v>
      </c>
      <c r="D38" s="7" t="s">
        <v>316</v>
      </c>
      <c r="E38" s="7" t="s">
        <v>317</v>
      </c>
      <c r="F38" s="7">
        <v>0.435</v>
      </c>
      <c r="G38" s="7">
        <v>0.377</v>
      </c>
      <c r="H38" s="7" t="s">
        <v>70</v>
      </c>
      <c r="I38" s="7" t="s">
        <v>71</v>
      </c>
      <c r="J38" s="7" t="s">
        <v>363</v>
      </c>
      <c r="K38" s="8">
        <f>F38*1.06</f>
      </c>
      <c r="L38" s="9">
        <v>282.21</v>
      </c>
      <c r="M38" s="28">
        <v>377</v>
      </c>
      <c r="N38" s="28"/>
      <c r="O38" s="29">
        <f>IFERROR((N38-M38)*K38,0)</f>
      </c>
      <c r="P38" s="28">
        <v>237.76569037656904</v>
      </c>
      <c r="Q38" s="28">
        <v>369</v>
      </c>
      <c r="R38" s="28"/>
      <c r="S38" s="30">
        <f>IFERROR((P38/Q38)*R38,0)</f>
      </c>
      <c r="T38" s="30">
        <f>IFERROR((S38-P38)*((F38-G38)*0.8),0)</f>
      </c>
      <c r="U38" s="31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311</v>
      </c>
      <c r="D39" s="15" t="s">
        <v>68</v>
      </c>
      <c r="E39" s="15" t="s">
        <v>69</v>
      </c>
      <c r="F39" s="15">
        <v>0.444</v>
      </c>
      <c r="G39" s="15">
        <v>0.386</v>
      </c>
      <c r="H39" s="15" t="s">
        <v>70</v>
      </c>
      <c r="I39" s="15" t="s">
        <v>71</v>
      </c>
      <c r="J39" s="15" t="s">
        <v>364</v>
      </c>
      <c r="K39" s="16">
        <f>F39*1.06</f>
      </c>
      <c r="L39" s="17">
        <v>300.88</v>
      </c>
      <c r="M39" s="32">
        <v>377</v>
      </c>
      <c r="N39" s="32"/>
      <c r="O39" s="33">
        <f>IFERROR((N39-M39)*K39,0)</f>
      </c>
      <c r="P39" s="32">
        <v>237.76569037656904</v>
      </c>
      <c r="Q39" s="32">
        <v>369</v>
      </c>
      <c r="R39" s="32"/>
      <c r="S39" s="34">
        <f>IFERROR((P39/Q39)*R39,0)</f>
      </c>
      <c r="T39" s="34">
        <f>IFERROR((S39-P39)*((F39-G39)*0.8),0)</f>
      </c>
      <c r="U39" s="35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311</v>
      </c>
      <c r="D40" s="7" t="s">
        <v>327</v>
      </c>
      <c r="E40" s="7" t="s">
        <v>328</v>
      </c>
      <c r="F40" s="7">
        <v>0.435</v>
      </c>
      <c r="G40" s="7">
        <v>0.375</v>
      </c>
      <c r="H40" s="7" t="s">
        <v>70</v>
      </c>
      <c r="I40" s="7" t="s">
        <v>71</v>
      </c>
      <c r="J40" s="7" t="s">
        <v>365</v>
      </c>
      <c r="K40" s="8">
        <f>F40*1.06</f>
      </c>
      <c r="L40" s="9">
        <v>288.97</v>
      </c>
      <c r="M40" s="28">
        <v>377</v>
      </c>
      <c r="N40" s="28"/>
      <c r="O40" s="29">
        <f>IFERROR((N40-M40)*K40,0)</f>
      </c>
      <c r="P40" s="28">
        <v>237.76569037656904</v>
      </c>
      <c r="Q40" s="28">
        <v>369</v>
      </c>
      <c r="R40" s="28"/>
      <c r="S40" s="30">
        <f>IFERROR((P40/Q40)*R40,0)</f>
      </c>
      <c r="T40" s="30">
        <f>IFERROR((S40-P40)*((F40-G40)*0.8),0)</f>
      </c>
      <c r="U40" s="31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311</v>
      </c>
      <c r="D41" s="15" t="s">
        <v>65</v>
      </c>
      <c r="E41" s="15" t="s">
        <v>66</v>
      </c>
      <c r="F41" s="15">
        <v>0.077</v>
      </c>
      <c r="G41" s="15">
        <v>0.069</v>
      </c>
      <c r="H41" s="15" t="s">
        <v>70</v>
      </c>
      <c r="I41" s="15" t="s">
        <v>38</v>
      </c>
      <c r="J41" s="15" t="s">
        <v>366</v>
      </c>
      <c r="K41" s="16">
        <f>F41*1.06</f>
      </c>
      <c r="L41" s="17">
        <v>80.83</v>
      </c>
      <c r="M41" s="32">
        <v>369</v>
      </c>
      <c r="N41" s="32"/>
      <c r="O41" s="33">
        <f>IFERROR((N41-M41)*K41,0)</f>
      </c>
      <c r="P41" s="32">
        <v>237.76569037656904</v>
      </c>
      <c r="Q41" s="32">
        <v>369</v>
      </c>
      <c r="R41" s="32"/>
      <c r="S41" s="34">
        <f>IFERROR((P41/Q41)*R41,0)</f>
      </c>
      <c r="T41" s="34">
        <f>IFERROR((S41-P41)*((F41-G41)*0.8),0)</f>
      </c>
      <c r="U41" s="35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311</v>
      </c>
      <c r="D42" s="7" t="s">
        <v>62</v>
      </c>
      <c r="E42" s="7" t="s">
        <v>63</v>
      </c>
      <c r="F42" s="7">
        <v>0.096</v>
      </c>
      <c r="G42" s="7">
        <v>0.084</v>
      </c>
      <c r="H42" s="7" t="s">
        <v>70</v>
      </c>
      <c r="I42" s="7" t="s">
        <v>38</v>
      </c>
      <c r="J42" s="7" t="s">
        <v>367</v>
      </c>
      <c r="K42" s="8">
        <f>F42*1.06</f>
      </c>
      <c r="L42" s="9">
        <v>108.49</v>
      </c>
      <c r="M42" s="28">
        <v>369</v>
      </c>
      <c r="N42" s="28"/>
      <c r="O42" s="29">
        <f>IFERROR((N42-M42)*K42,0)</f>
      </c>
      <c r="P42" s="28">
        <v>237.76569037656904</v>
      </c>
      <c r="Q42" s="28">
        <v>369</v>
      </c>
      <c r="R42" s="28"/>
      <c r="S42" s="30">
        <f>IFERROR((P42/Q42)*R42,0)</f>
      </c>
      <c r="T42" s="30">
        <f>IFERROR((S42-P42)*((F42-G42)*0.8),0)</f>
      </c>
      <c r="U42" s="31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311</v>
      </c>
      <c r="D43" s="15" t="s">
        <v>368</v>
      </c>
      <c r="E43" s="15" t="s">
        <v>369</v>
      </c>
      <c r="F43" s="15">
        <v>0.361</v>
      </c>
      <c r="G43" s="15">
        <v>0.321</v>
      </c>
      <c r="H43" s="15" t="s">
        <v>70</v>
      </c>
      <c r="I43" s="15" t="s">
        <v>38</v>
      </c>
      <c r="J43" s="15" t="s">
        <v>370</v>
      </c>
      <c r="K43" s="16">
        <f>F43*1.06</f>
      </c>
      <c r="L43" s="17">
        <v>218.33</v>
      </c>
      <c r="M43" s="32">
        <v>369</v>
      </c>
      <c r="N43" s="32"/>
      <c r="O43" s="33">
        <f>IFERROR((N43-M43)*K43,0)</f>
      </c>
      <c r="P43" s="32">
        <v>237.76569037656904</v>
      </c>
      <c r="Q43" s="32">
        <v>369</v>
      </c>
      <c r="R43" s="32"/>
      <c r="S43" s="34">
        <f>IFERROR((P43/Q43)*R43,0)</f>
      </c>
      <c r="T43" s="34">
        <f>IFERROR((S43-P43)*((F43-G43)*0.8),0)</f>
      </c>
      <c r="U43" s="35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311</v>
      </c>
      <c r="D44" s="7" t="s">
        <v>119</v>
      </c>
      <c r="E44" s="7" t="s">
        <v>120</v>
      </c>
      <c r="F44" s="7">
        <v>0.361</v>
      </c>
      <c r="G44" s="7">
        <v>0.321</v>
      </c>
      <c r="H44" s="7" t="s">
        <v>70</v>
      </c>
      <c r="I44" s="7" t="s">
        <v>38</v>
      </c>
      <c r="J44" s="7" t="s">
        <v>371</v>
      </c>
      <c r="K44" s="8">
        <f>F44*1.06</f>
      </c>
      <c r="L44" s="9">
        <v>215.86</v>
      </c>
      <c r="M44" s="28">
        <v>369</v>
      </c>
      <c r="N44" s="28"/>
      <c r="O44" s="29">
        <f>IFERROR((N44-M44)*K44,0)</f>
      </c>
      <c r="P44" s="28">
        <v>237.76569037656904</v>
      </c>
      <c r="Q44" s="28">
        <v>369</v>
      </c>
      <c r="R44" s="28"/>
      <c r="S44" s="30">
        <f>IFERROR((P44/Q44)*R44,0)</f>
      </c>
      <c r="T44" s="30">
        <f>IFERROR((S44-P44)*((F44-G44)*0.8),0)</f>
      </c>
      <c r="U44" s="31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311</v>
      </c>
      <c r="D45" s="15" t="s">
        <v>179</v>
      </c>
      <c r="E45" s="15" t="s">
        <v>180</v>
      </c>
      <c r="F45" s="15">
        <v>0.145</v>
      </c>
      <c r="G45" s="15">
        <v>0.134</v>
      </c>
      <c r="H45" s="15" t="s">
        <v>70</v>
      </c>
      <c r="I45" s="15" t="s">
        <v>38</v>
      </c>
      <c r="J45" s="15" t="s">
        <v>372</v>
      </c>
      <c r="K45" s="16">
        <f>F45*1.06</f>
      </c>
      <c r="L45" s="17">
        <v>133.83</v>
      </c>
      <c r="M45" s="32">
        <v>369</v>
      </c>
      <c r="N45" s="32"/>
      <c r="O45" s="33">
        <f>IFERROR((N45-M45)*K45,0)</f>
      </c>
      <c r="P45" s="32">
        <v>237.76569037656904</v>
      </c>
      <c r="Q45" s="32">
        <v>369</v>
      </c>
      <c r="R45" s="32"/>
      <c r="S45" s="34">
        <f>IFERROR((P45/Q45)*R45,0)</f>
      </c>
      <c r="T45" s="34">
        <f>IFERROR((S45-P45)*((F45-G45)*0.8),0)</f>
      </c>
      <c r="U45" s="35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311</v>
      </c>
      <c r="D46" s="7" t="s">
        <v>279</v>
      </c>
      <c r="E46" s="7" t="s">
        <v>280</v>
      </c>
      <c r="F46" s="7">
        <v>0.052</v>
      </c>
      <c r="G46" s="7">
        <v>0.052</v>
      </c>
      <c r="H46" s="7" t="s">
        <v>70</v>
      </c>
      <c r="I46" s="7" t="s">
        <v>38</v>
      </c>
      <c r="J46" s="7" t="s">
        <v>373</v>
      </c>
      <c r="K46" s="8">
        <f>F46*1.06</f>
      </c>
      <c r="L46" s="9">
        <v>49.2</v>
      </c>
      <c r="M46" s="28">
        <v>369</v>
      </c>
      <c r="N46" s="28"/>
      <c r="O46" s="29">
        <f>IFERROR((N46-M46)*K46,0)</f>
      </c>
      <c r="P46" s="36" t="s">
        <v>85</v>
      </c>
      <c r="Q46" s="36" t="s">
        <v>85</v>
      </c>
      <c r="R46" s="36" t="s">
        <v>85</v>
      </c>
      <c r="S46" s="36" t="s">
        <v>85</v>
      </c>
      <c r="T46" s="30">
        <v>0</v>
      </c>
      <c r="U46" s="31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311</v>
      </c>
      <c r="D47" s="15" t="s">
        <v>244</v>
      </c>
      <c r="E47" s="15" t="s">
        <v>242</v>
      </c>
      <c r="F47" s="15">
        <v>0.304</v>
      </c>
      <c r="G47" s="15">
        <v>0.264</v>
      </c>
      <c r="H47" s="15" t="s">
        <v>70</v>
      </c>
      <c r="I47" s="15" t="s">
        <v>71</v>
      </c>
      <c r="J47" s="15" t="s">
        <v>374</v>
      </c>
      <c r="K47" s="16">
        <f>F47*1.06</f>
      </c>
      <c r="L47" s="17">
        <v>203.95</v>
      </c>
      <c r="M47" s="32">
        <v>377</v>
      </c>
      <c r="N47" s="32"/>
      <c r="O47" s="33">
        <f>IFERROR((N47-M47)*K47,0)</f>
      </c>
      <c r="P47" s="32">
        <v>237.76569037656904</v>
      </c>
      <c r="Q47" s="32">
        <v>369</v>
      </c>
      <c r="R47" s="32"/>
      <c r="S47" s="34">
        <f>IFERROR((P47/Q47)*R47,0)</f>
      </c>
      <c r="T47" s="34">
        <f>IFERROR((S47-P47)*((F47-G47)*0.8),0)</f>
      </c>
      <c r="U47" s="35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311</v>
      </c>
      <c r="D48" s="7" t="s">
        <v>342</v>
      </c>
      <c r="E48" s="7" t="s">
        <v>343</v>
      </c>
      <c r="F48" s="7">
        <v>0.193</v>
      </c>
      <c r="G48" s="7">
        <v>0.169</v>
      </c>
      <c r="H48" s="7" t="s">
        <v>70</v>
      </c>
      <c r="I48" s="7" t="s">
        <v>71</v>
      </c>
      <c r="J48" s="7" t="s">
        <v>375</v>
      </c>
      <c r="K48" s="8">
        <f>F48*1.06</f>
      </c>
      <c r="L48" s="9">
        <v>126.96</v>
      </c>
      <c r="M48" s="28">
        <v>377</v>
      </c>
      <c r="N48" s="28"/>
      <c r="O48" s="29">
        <f>IFERROR((N48-M48)*K48,0)</f>
      </c>
      <c r="P48" s="28">
        <v>237.76569037656904</v>
      </c>
      <c r="Q48" s="28">
        <v>369</v>
      </c>
      <c r="R48" s="28"/>
      <c r="S48" s="30">
        <f>IFERROR((P48/Q48)*R48,0)</f>
      </c>
      <c r="T48" s="30">
        <f>IFERROR((S48-P48)*((F48-G48)*0.8),0)</f>
      </c>
      <c r="U48" s="31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311</v>
      </c>
      <c r="D49" s="15" t="s">
        <v>334</v>
      </c>
      <c r="E49" s="15" t="s">
        <v>335</v>
      </c>
      <c r="F49" s="15">
        <v>0.913</v>
      </c>
      <c r="G49" s="15">
        <v>0.866</v>
      </c>
      <c r="H49" s="15" t="s">
        <v>70</v>
      </c>
      <c r="I49" s="15" t="s">
        <v>38</v>
      </c>
      <c r="J49" s="15" t="s">
        <v>376</v>
      </c>
      <c r="K49" s="16">
        <f>F49*1.06</f>
      </c>
      <c r="L49" s="17">
        <v>541.11</v>
      </c>
      <c r="M49" s="32">
        <v>369</v>
      </c>
      <c r="N49" s="32"/>
      <c r="O49" s="33">
        <f>IFERROR((N49-M49)*K49,0)</f>
      </c>
      <c r="P49" s="32">
        <v>237.76569037656904</v>
      </c>
      <c r="Q49" s="32">
        <v>369</v>
      </c>
      <c r="R49" s="32"/>
      <c r="S49" s="34">
        <f>IFERROR((P49/Q49)*R49,0)</f>
      </c>
      <c r="T49" s="34">
        <f>IFERROR((S49-P49)*((F49-G49)*0.8),0)</f>
      </c>
      <c r="U49" s="35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311</v>
      </c>
      <c r="D50" s="7" t="s">
        <v>304</v>
      </c>
      <c r="E50" s="7" t="s">
        <v>305</v>
      </c>
      <c r="F50" s="7">
        <v>0.317</v>
      </c>
      <c r="G50" s="7">
        <v>0.272</v>
      </c>
      <c r="H50" s="7" t="s">
        <v>70</v>
      </c>
      <c r="I50" s="7" t="s">
        <v>38</v>
      </c>
      <c r="J50" s="7" t="s">
        <v>377</v>
      </c>
      <c r="K50" s="8">
        <f>F50*1.06</f>
      </c>
      <c r="L50" s="9">
        <v>208.99</v>
      </c>
      <c r="M50" s="28">
        <v>369</v>
      </c>
      <c r="N50" s="28"/>
      <c r="O50" s="29">
        <f>IFERROR((N50-M50)*K50,0)</f>
      </c>
      <c r="P50" s="28">
        <v>237.76569037656904</v>
      </c>
      <c r="Q50" s="28">
        <v>369</v>
      </c>
      <c r="R50" s="28"/>
      <c r="S50" s="30">
        <f>IFERROR((P50/Q50)*R50,0)</f>
      </c>
      <c r="T50" s="30">
        <f>IFERROR((S50-P50)*((F50-G50)*0.8),0)</f>
      </c>
      <c r="U50" s="31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311</v>
      </c>
      <c r="D51" s="15" t="s">
        <v>167</v>
      </c>
      <c r="E51" s="15" t="s">
        <v>82</v>
      </c>
      <c r="F51" s="15">
        <v>0.317</v>
      </c>
      <c r="G51" s="15">
        <v>0.279</v>
      </c>
      <c r="H51" s="15" t="s">
        <v>70</v>
      </c>
      <c r="I51" s="15" t="s">
        <v>38</v>
      </c>
      <c r="J51" s="15" t="s">
        <v>378</v>
      </c>
      <c r="K51" s="16">
        <f>F51*1.06</f>
      </c>
      <c r="L51" s="17">
        <v>213.15</v>
      </c>
      <c r="M51" s="32">
        <v>369</v>
      </c>
      <c r="N51" s="32"/>
      <c r="O51" s="33">
        <f>IFERROR((N51-M51)*K51,0)</f>
      </c>
      <c r="P51" s="32">
        <v>237.76569037656904</v>
      </c>
      <c r="Q51" s="32">
        <v>369</v>
      </c>
      <c r="R51" s="32"/>
      <c r="S51" s="34">
        <f>IFERROR((P51/Q51)*R51,0)</f>
      </c>
      <c r="T51" s="34">
        <f>IFERROR((S51-P51)*((F51-G51)*0.8),0)</f>
      </c>
      <c r="U51" s="35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311</v>
      </c>
      <c r="D52" s="7" t="s">
        <v>307</v>
      </c>
      <c r="E52" s="7" t="s">
        <v>82</v>
      </c>
      <c r="F52" s="7">
        <v>0.317</v>
      </c>
      <c r="G52" s="7">
        <v>0.279</v>
      </c>
      <c r="H52" s="7" t="s">
        <v>70</v>
      </c>
      <c r="I52" s="7" t="s">
        <v>38</v>
      </c>
      <c r="J52" s="7" t="s">
        <v>379</v>
      </c>
      <c r="K52" s="8">
        <f>F52*1.06</f>
      </c>
      <c r="L52" s="9">
        <v>212.79</v>
      </c>
      <c r="M52" s="28">
        <v>369</v>
      </c>
      <c r="N52" s="28"/>
      <c r="O52" s="29">
        <f>IFERROR((N52-M52)*K52,0)</f>
      </c>
      <c r="P52" s="28">
        <v>237.76569037656904</v>
      </c>
      <c r="Q52" s="28">
        <v>369</v>
      </c>
      <c r="R52" s="28"/>
      <c r="S52" s="30">
        <f>IFERROR((P52/Q52)*R52,0)</f>
      </c>
      <c r="T52" s="30">
        <f>IFERROR((S52-P52)*((F52-G52)*0.8),0)</f>
      </c>
      <c r="U52" s="31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311</v>
      </c>
      <c r="D53" s="15" t="s">
        <v>169</v>
      </c>
      <c r="E53" s="15" t="s">
        <v>170</v>
      </c>
      <c r="F53" s="15">
        <v>0.035</v>
      </c>
      <c r="G53" s="15">
        <v>0.035</v>
      </c>
      <c r="H53" s="15" t="s">
        <v>70</v>
      </c>
      <c r="I53" s="15" t="s">
        <v>38</v>
      </c>
      <c r="J53" s="15" t="s">
        <v>380</v>
      </c>
      <c r="K53" s="16">
        <f>F53*1.06</f>
      </c>
      <c r="L53" s="17">
        <v>33.28</v>
      </c>
      <c r="M53" s="32">
        <v>369</v>
      </c>
      <c r="N53" s="32"/>
      <c r="O53" s="33">
        <f>IFERROR((N53-M53)*K53,0)</f>
      </c>
      <c r="P53" s="37" t="s">
        <v>85</v>
      </c>
      <c r="Q53" s="37" t="s">
        <v>85</v>
      </c>
      <c r="R53" s="37" t="s">
        <v>85</v>
      </c>
      <c r="S53" s="37" t="s">
        <v>85</v>
      </c>
      <c r="T53" s="34">
        <v>0</v>
      </c>
      <c r="U53" s="35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311</v>
      </c>
      <c r="D54" s="7" t="s">
        <v>340</v>
      </c>
      <c r="E54" s="7" t="s">
        <v>242</v>
      </c>
      <c r="F54" s="7">
        <v>0.287</v>
      </c>
      <c r="G54" s="7">
        <v>0.247</v>
      </c>
      <c r="H54" s="7" t="s">
        <v>70</v>
      </c>
      <c r="I54" s="7" t="s">
        <v>71</v>
      </c>
      <c r="J54" s="7" t="s">
        <v>381</v>
      </c>
      <c r="K54" s="8">
        <f>F54*1.06</f>
      </c>
      <c r="L54" s="9">
        <v>199.93</v>
      </c>
      <c r="M54" s="28">
        <v>377</v>
      </c>
      <c r="N54" s="28"/>
      <c r="O54" s="29">
        <f>IFERROR((N54-M54)*K54,0)</f>
      </c>
      <c r="P54" s="28">
        <v>237.76569037656904</v>
      </c>
      <c r="Q54" s="28">
        <v>369</v>
      </c>
      <c r="R54" s="28"/>
      <c r="S54" s="30">
        <f>IFERROR((P54/Q54)*R54,0)</f>
      </c>
      <c r="T54" s="30">
        <f>IFERROR((S54-P54)*((F54-G54)*0.8),0)</f>
      </c>
      <c r="U54" s="31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311</v>
      </c>
      <c r="D55" s="15" t="s">
        <v>246</v>
      </c>
      <c r="E55" s="15" t="s">
        <v>242</v>
      </c>
      <c r="F55" s="15">
        <v>0.287</v>
      </c>
      <c r="G55" s="15">
        <v>0.252</v>
      </c>
      <c r="H55" s="15" t="s">
        <v>70</v>
      </c>
      <c r="I55" s="15" t="s">
        <v>71</v>
      </c>
      <c r="J55" s="15" t="s">
        <v>382</v>
      </c>
      <c r="K55" s="16">
        <f>F55*1.06</f>
      </c>
      <c r="L55" s="17">
        <v>202</v>
      </c>
      <c r="M55" s="32">
        <v>377</v>
      </c>
      <c r="N55" s="32"/>
      <c r="O55" s="33">
        <f>IFERROR((N55-M55)*K55,0)</f>
      </c>
      <c r="P55" s="32">
        <v>237.76569037656904</v>
      </c>
      <c r="Q55" s="32">
        <v>369</v>
      </c>
      <c r="R55" s="32"/>
      <c r="S55" s="34">
        <f>IFERROR((P55/Q55)*R55,0)</f>
      </c>
      <c r="T55" s="34">
        <f>IFERROR((S55-P55)*((F55-G55)*0.8),0)</f>
      </c>
      <c r="U55" s="35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311</v>
      </c>
      <c r="D56" s="7" t="s">
        <v>241</v>
      </c>
      <c r="E56" s="7" t="s">
        <v>242</v>
      </c>
      <c r="F56" s="7">
        <v>0.3</v>
      </c>
      <c r="G56" s="7">
        <v>0.24</v>
      </c>
      <c r="H56" s="7" t="s">
        <v>70</v>
      </c>
      <c r="I56" s="7" t="s">
        <v>71</v>
      </c>
      <c r="J56" s="7" t="s">
        <v>383</v>
      </c>
      <c r="K56" s="8">
        <f>F56*1.06</f>
      </c>
      <c r="L56" s="9">
        <v>202.43</v>
      </c>
      <c r="M56" s="28">
        <v>377</v>
      </c>
      <c r="N56" s="28"/>
      <c r="O56" s="29">
        <f>IFERROR((N56-M56)*K56,0)</f>
      </c>
      <c r="P56" s="28">
        <v>237.76569037656904</v>
      </c>
      <c r="Q56" s="28">
        <v>369</v>
      </c>
      <c r="R56" s="28"/>
      <c r="S56" s="30">
        <f>IFERROR((P56/Q56)*R56,0)</f>
      </c>
      <c r="T56" s="30">
        <f>IFERROR((S56-P56)*((F56-G56)*0.8),0)</f>
      </c>
      <c r="U56" s="31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311</v>
      </c>
      <c r="D57" s="15" t="s">
        <v>248</v>
      </c>
      <c r="E57" s="15" t="s">
        <v>49</v>
      </c>
      <c r="F57" s="15">
        <v>0.116</v>
      </c>
      <c r="G57" s="15">
        <v>0.116</v>
      </c>
      <c r="H57" s="15" t="s">
        <v>70</v>
      </c>
      <c r="I57" s="15" t="s">
        <v>38</v>
      </c>
      <c r="J57" s="15" t="s">
        <v>384</v>
      </c>
      <c r="K57" s="16">
        <f>F57*1.06</f>
      </c>
      <c r="L57" s="17">
        <v>104.7</v>
      </c>
      <c r="M57" s="32">
        <v>369</v>
      </c>
      <c r="N57" s="32"/>
      <c r="O57" s="33">
        <f>IFERROR((N57-M57)*K57,0)</f>
      </c>
      <c r="P57" s="37" t="s">
        <v>85</v>
      </c>
      <c r="Q57" s="37" t="s">
        <v>85</v>
      </c>
      <c r="R57" s="37" t="s">
        <v>85</v>
      </c>
      <c r="S57" s="37" t="s">
        <v>85</v>
      </c>
      <c r="T57" s="34">
        <v>0</v>
      </c>
      <c r="U57" s="35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311</v>
      </c>
      <c r="D58" s="7" t="s">
        <v>385</v>
      </c>
      <c r="E58" s="7" t="s">
        <v>242</v>
      </c>
      <c r="F58" s="7">
        <v>0.287</v>
      </c>
      <c r="G58" s="7">
        <v>0.248</v>
      </c>
      <c r="H58" s="7" t="s">
        <v>70</v>
      </c>
      <c r="I58" s="7" t="s">
        <v>71</v>
      </c>
      <c r="J58" s="7" t="s">
        <v>386</v>
      </c>
      <c r="K58" s="8">
        <f>F58*1.06</f>
      </c>
      <c r="L58" s="9">
        <v>204.89</v>
      </c>
      <c r="M58" s="28">
        <v>377</v>
      </c>
      <c r="N58" s="28"/>
      <c r="O58" s="29">
        <f>IFERROR((N58-M58)*K58,0)</f>
      </c>
      <c r="P58" s="28">
        <v>237.76569037656904</v>
      </c>
      <c r="Q58" s="28">
        <v>369</v>
      </c>
      <c r="R58" s="28"/>
      <c r="S58" s="30">
        <f>IFERROR((P58/Q58)*R58,0)</f>
      </c>
      <c r="T58" s="30">
        <f>IFERROR((S58-P58)*((F58-G58)*0.8),0)</f>
      </c>
      <c r="U58" s="31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311</v>
      </c>
      <c r="D59" s="15" t="s">
        <v>387</v>
      </c>
      <c r="E59" s="15" t="s">
        <v>388</v>
      </c>
      <c r="F59" s="15">
        <v>0.306</v>
      </c>
      <c r="G59" s="15">
        <v>0.265</v>
      </c>
      <c r="H59" s="15" t="s">
        <v>70</v>
      </c>
      <c r="I59" s="15" t="s">
        <v>71</v>
      </c>
      <c r="J59" s="15" t="s">
        <v>389</v>
      </c>
      <c r="K59" s="16">
        <f>F59*1.06</f>
      </c>
      <c r="L59" s="17">
        <v>205.98</v>
      </c>
      <c r="M59" s="32">
        <v>377</v>
      </c>
      <c r="N59" s="32"/>
      <c r="O59" s="33">
        <f>IFERROR((N59-M59)*K59,0)</f>
      </c>
      <c r="P59" s="32">
        <v>237.76569037656904</v>
      </c>
      <c r="Q59" s="32">
        <v>369</v>
      </c>
      <c r="R59" s="32"/>
      <c r="S59" s="34">
        <f>IFERROR((P59/Q59)*R59,0)</f>
      </c>
      <c r="T59" s="34">
        <f>IFERROR((S59-P59)*((F59-G59)*0.8),0)</f>
      </c>
      <c r="U59" s="35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311</v>
      </c>
      <c r="D60" s="7" t="s">
        <v>390</v>
      </c>
      <c r="E60" s="7" t="s">
        <v>391</v>
      </c>
      <c r="F60" s="7">
        <v>0.345</v>
      </c>
      <c r="G60" s="7">
        <v>0.336</v>
      </c>
      <c r="H60" s="7" t="s">
        <v>154</v>
      </c>
      <c r="I60" s="7" t="s">
        <v>38</v>
      </c>
      <c r="J60" s="7" t="s">
        <v>392</v>
      </c>
      <c r="K60" s="8">
        <f>F60*1.06</f>
      </c>
      <c r="L60" s="9">
        <v>222.96</v>
      </c>
      <c r="M60" s="28">
        <v>369</v>
      </c>
      <c r="N60" s="28"/>
      <c r="O60" s="29">
        <f>IFERROR((N60-M60)*K60,0)</f>
      </c>
      <c r="P60" s="28">
        <v>237.76569037656904</v>
      </c>
      <c r="Q60" s="28">
        <v>369</v>
      </c>
      <c r="R60" s="28"/>
      <c r="S60" s="30">
        <f>IFERROR((P60/Q60)*R60,0)</f>
      </c>
      <c r="T60" s="30">
        <f>IFERROR((S60-P60)*((F60-G60)*0.8),0)</f>
      </c>
      <c r="U60" s="31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311</v>
      </c>
      <c r="D61" s="15" t="s">
        <v>211</v>
      </c>
      <c r="E61" s="15" t="s">
        <v>212</v>
      </c>
      <c r="F61" s="15">
        <v>1.25</v>
      </c>
      <c r="G61" s="15">
        <v>1.16</v>
      </c>
      <c r="H61" s="15" t="s">
        <v>83</v>
      </c>
      <c r="I61" s="15" t="s">
        <v>71</v>
      </c>
      <c r="J61" s="15" t="s">
        <v>393</v>
      </c>
      <c r="K61" s="16">
        <f>F61*1.06</f>
      </c>
      <c r="L61" s="17">
        <v>990.47</v>
      </c>
      <c r="M61" s="32">
        <v>377</v>
      </c>
      <c r="N61" s="32"/>
      <c r="O61" s="33">
        <f>IFERROR((N61-M61)*K61,0)</f>
      </c>
      <c r="P61" s="32">
        <v>237.76569037656904</v>
      </c>
      <c r="Q61" s="32">
        <v>369</v>
      </c>
      <c r="R61" s="32"/>
      <c r="S61" s="34">
        <f>IFERROR((P61/Q61)*R61,0)</f>
      </c>
      <c r="T61" s="34">
        <f>IFERROR((S61-P61)*((F61-G61)*0.8),0)</f>
      </c>
      <c r="U61" s="35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311</v>
      </c>
      <c r="D62" s="7" t="s">
        <v>176</v>
      </c>
      <c r="E62" s="7" t="s">
        <v>177</v>
      </c>
      <c r="F62" s="7">
        <v>0.671</v>
      </c>
      <c r="G62" s="7">
        <v>0.622</v>
      </c>
      <c r="H62" s="7" t="s">
        <v>83</v>
      </c>
      <c r="I62" s="7" t="s">
        <v>71</v>
      </c>
      <c r="J62" s="7" t="s">
        <v>394</v>
      </c>
      <c r="K62" s="8">
        <f>F62*1.06</f>
      </c>
      <c r="L62" s="9">
        <v>564.55</v>
      </c>
      <c r="M62" s="28">
        <v>377</v>
      </c>
      <c r="N62" s="28"/>
      <c r="O62" s="29">
        <f>IFERROR((N62-M62)*K62,0)</f>
      </c>
      <c r="P62" s="28">
        <v>237.76569037656904</v>
      </c>
      <c r="Q62" s="28">
        <v>369</v>
      </c>
      <c r="R62" s="28"/>
      <c r="S62" s="30">
        <f>IFERROR((P62/Q62)*R62,0)</f>
      </c>
      <c r="T62" s="30">
        <f>IFERROR((S62-P62)*((F62-G62)*0.8),0)</f>
      </c>
      <c r="U62" s="31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311</v>
      </c>
      <c r="D63" s="15" t="s">
        <v>204</v>
      </c>
      <c r="E63" s="15" t="s">
        <v>205</v>
      </c>
      <c r="F63" s="15">
        <v>0.163</v>
      </c>
      <c r="G63" s="15">
        <v>0.153</v>
      </c>
      <c r="H63" s="15" t="s">
        <v>83</v>
      </c>
      <c r="I63" s="15" t="s">
        <v>38</v>
      </c>
      <c r="J63" s="15" t="s">
        <v>395</v>
      </c>
      <c r="K63" s="16">
        <f>F63*1.06</f>
      </c>
      <c r="L63" s="17">
        <v>201.79</v>
      </c>
      <c r="M63" s="32">
        <v>369</v>
      </c>
      <c r="N63" s="32"/>
      <c r="O63" s="33">
        <f>IFERROR((N63-M63)*K63,0)</f>
      </c>
      <c r="P63" s="32">
        <v>237.76569037656904</v>
      </c>
      <c r="Q63" s="32">
        <v>369</v>
      </c>
      <c r="R63" s="32"/>
      <c r="S63" s="34">
        <f>IFERROR((P63/Q63)*R63,0)</f>
      </c>
      <c r="T63" s="34">
        <f>IFERROR((S63-P63)*((F63-G63)*0.8),0)</f>
      </c>
      <c r="U63" s="35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311</v>
      </c>
      <c r="D64" s="7" t="s">
        <v>173</v>
      </c>
      <c r="E64" s="7" t="s">
        <v>174</v>
      </c>
      <c r="F64" s="7">
        <v>0.671</v>
      </c>
      <c r="G64" s="7">
        <v>0.622</v>
      </c>
      <c r="H64" s="7" t="s">
        <v>83</v>
      </c>
      <c r="I64" s="7" t="s">
        <v>71</v>
      </c>
      <c r="J64" s="7" t="s">
        <v>396</v>
      </c>
      <c r="K64" s="8">
        <f>F64*1.06</f>
      </c>
      <c r="L64" s="9">
        <v>568.12</v>
      </c>
      <c r="M64" s="28">
        <v>377</v>
      </c>
      <c r="N64" s="28"/>
      <c r="O64" s="29">
        <f>IFERROR((N64-M64)*K64,0)</f>
      </c>
      <c r="P64" s="28">
        <v>237.76569037656904</v>
      </c>
      <c r="Q64" s="28">
        <v>369</v>
      </c>
      <c r="R64" s="28"/>
      <c r="S64" s="30">
        <f>IFERROR((P64/Q64)*R64,0)</f>
      </c>
      <c r="T64" s="30">
        <f>IFERROR((S64-P64)*((F64-G64)*0.8),0)</f>
      </c>
      <c r="U64" s="31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311</v>
      </c>
      <c r="D65" s="15" t="s">
        <v>220</v>
      </c>
      <c r="E65" s="15" t="s">
        <v>221</v>
      </c>
      <c r="F65" s="15">
        <v>0.168</v>
      </c>
      <c r="G65" s="15">
        <v>0.163</v>
      </c>
      <c r="H65" s="15" t="s">
        <v>83</v>
      </c>
      <c r="I65" s="15" t="s">
        <v>38</v>
      </c>
      <c r="J65" s="15" t="s">
        <v>397</v>
      </c>
      <c r="K65" s="16">
        <f>F65*1.06</f>
      </c>
      <c r="L65" s="17">
        <v>202.73</v>
      </c>
      <c r="M65" s="32">
        <v>369</v>
      </c>
      <c r="N65" s="32"/>
      <c r="O65" s="33">
        <f>IFERROR((N65-M65)*K65,0)</f>
      </c>
      <c r="P65" s="32">
        <v>237.76569037656904</v>
      </c>
      <c r="Q65" s="32">
        <v>369</v>
      </c>
      <c r="R65" s="32"/>
      <c r="S65" s="34">
        <f>IFERROR((P65/Q65)*R65,0)</f>
      </c>
      <c r="T65" s="34">
        <f>IFERROR((S65-P65)*((F65-G65)*0.8),0)</f>
      </c>
      <c r="U65" s="35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311</v>
      </c>
      <c r="D66" s="7" t="s">
        <v>233</v>
      </c>
      <c r="E66" s="7" t="s">
        <v>82</v>
      </c>
      <c r="F66" s="7">
        <v>0.3584</v>
      </c>
      <c r="G66" s="7">
        <v>0.327</v>
      </c>
      <c r="H66" s="7" t="s">
        <v>83</v>
      </c>
      <c r="I66" s="7" t="s">
        <v>38</v>
      </c>
      <c r="J66" s="7" t="s">
        <v>398</v>
      </c>
      <c r="K66" s="8">
        <f>F66*1.06</f>
      </c>
      <c r="L66" s="9">
        <v>273.31</v>
      </c>
      <c r="M66" s="28">
        <v>369</v>
      </c>
      <c r="N66" s="28"/>
      <c r="O66" s="29">
        <f>IFERROR((N66-M66)*K66,0)</f>
      </c>
      <c r="P66" s="28">
        <v>237.76569037656904</v>
      </c>
      <c r="Q66" s="28">
        <v>369</v>
      </c>
      <c r="R66" s="28"/>
      <c r="S66" s="30">
        <f>IFERROR((P66/Q66)*R66,0)</f>
      </c>
      <c r="T66" s="30">
        <f>IFERROR((S66-P66)*((F66-G66)*0.8),0)</f>
      </c>
      <c r="U66" s="31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311</v>
      </c>
      <c r="D67" s="15" t="s">
        <v>78</v>
      </c>
      <c r="E67" s="15" t="s">
        <v>196</v>
      </c>
      <c r="F67" s="15">
        <v>0.268</v>
      </c>
      <c r="G67" s="15">
        <v>0.254</v>
      </c>
      <c r="H67" s="15" t="s">
        <v>83</v>
      </c>
      <c r="I67" s="15" t="s">
        <v>38</v>
      </c>
      <c r="J67" s="15" t="s">
        <v>399</v>
      </c>
      <c r="K67" s="16">
        <f>F67*1.06</f>
      </c>
      <c r="L67" s="17">
        <v>223.97</v>
      </c>
      <c r="M67" s="32">
        <v>369</v>
      </c>
      <c r="N67" s="32"/>
      <c r="O67" s="33">
        <f>IFERROR((N67-M67)*K67,0)</f>
      </c>
      <c r="P67" s="32">
        <v>237.76569037656904</v>
      </c>
      <c r="Q67" s="32">
        <v>369</v>
      </c>
      <c r="R67" s="32"/>
      <c r="S67" s="34">
        <f>IFERROR((P67/Q67)*R67,0)</f>
      </c>
      <c r="T67" s="34">
        <f>IFERROR((S67-P67)*((F67-G67)*0.8),0)</f>
      </c>
      <c r="U67" s="35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311</v>
      </c>
      <c r="D68" s="7" t="s">
        <v>230</v>
      </c>
      <c r="E68" s="7" t="s">
        <v>231</v>
      </c>
      <c r="F68" s="7">
        <v>0.3095</v>
      </c>
      <c r="G68" s="7">
        <v>0.29</v>
      </c>
      <c r="H68" s="7" t="s">
        <v>83</v>
      </c>
      <c r="I68" s="7" t="s">
        <v>38</v>
      </c>
      <c r="J68" s="7" t="s">
        <v>400</v>
      </c>
      <c r="K68" s="8">
        <f>F68*1.06</f>
      </c>
      <c r="L68" s="9">
        <v>233.12</v>
      </c>
      <c r="M68" s="28">
        <v>369</v>
      </c>
      <c r="N68" s="28"/>
      <c r="O68" s="29">
        <f>IFERROR((N68-M68)*K68,0)</f>
      </c>
      <c r="P68" s="28">
        <v>237.76569037656904</v>
      </c>
      <c r="Q68" s="28">
        <v>369</v>
      </c>
      <c r="R68" s="28"/>
      <c r="S68" s="30">
        <f>IFERROR((P68/Q68)*R68,0)</f>
      </c>
      <c r="T68" s="30">
        <f>IFERROR((S68-P68)*((F68-G68)*0.8),0)</f>
      </c>
      <c r="U68" s="31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311</v>
      </c>
      <c r="D69" s="15" t="s">
        <v>186</v>
      </c>
      <c r="E69" s="15" t="s">
        <v>187</v>
      </c>
      <c r="F69" s="15">
        <v>0.316</v>
      </c>
      <c r="G69" s="15">
        <v>0.316</v>
      </c>
      <c r="H69" s="15" t="s">
        <v>83</v>
      </c>
      <c r="I69" s="15" t="s">
        <v>71</v>
      </c>
      <c r="J69" s="15" t="s">
        <v>401</v>
      </c>
      <c r="K69" s="16">
        <f>F69*1.06</f>
      </c>
      <c r="L69" s="17">
        <v>282.5</v>
      </c>
      <c r="M69" s="32">
        <v>377</v>
      </c>
      <c r="N69" s="32"/>
      <c r="O69" s="33">
        <f>IFERROR((N69-M69)*K69,0)</f>
      </c>
      <c r="P69" s="37" t="s">
        <v>85</v>
      </c>
      <c r="Q69" s="37" t="s">
        <v>85</v>
      </c>
      <c r="R69" s="37" t="s">
        <v>85</v>
      </c>
      <c r="S69" s="37" t="s">
        <v>85</v>
      </c>
      <c r="T69" s="34">
        <v>0</v>
      </c>
      <c r="U69" s="35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311</v>
      </c>
      <c r="D70" s="7" t="s">
        <v>179</v>
      </c>
      <c r="E70" s="7" t="s">
        <v>180</v>
      </c>
      <c r="F70" s="7">
        <v>0.145</v>
      </c>
      <c r="G70" s="7">
        <v>0.134</v>
      </c>
      <c r="H70" s="7" t="s">
        <v>83</v>
      </c>
      <c r="I70" s="7" t="s">
        <v>38</v>
      </c>
      <c r="J70" s="7" t="s">
        <v>402</v>
      </c>
      <c r="K70" s="8">
        <f>F70*1.06</f>
      </c>
      <c r="L70" s="9">
        <v>134.99</v>
      </c>
      <c r="M70" s="28">
        <v>369</v>
      </c>
      <c r="N70" s="28"/>
      <c r="O70" s="29">
        <f>IFERROR((N70-M70)*K70,0)</f>
      </c>
      <c r="P70" s="28">
        <v>237.76569037656904</v>
      </c>
      <c r="Q70" s="28">
        <v>369</v>
      </c>
      <c r="R70" s="28"/>
      <c r="S70" s="30">
        <f>IFERROR((P70/Q70)*R70,0)</f>
      </c>
      <c r="T70" s="30">
        <f>IFERROR((S70-P70)*((F70-G70)*0.8),0)</f>
      </c>
      <c r="U70" s="31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311</v>
      </c>
      <c r="D71" s="15" t="s">
        <v>62</v>
      </c>
      <c r="E71" s="15" t="s">
        <v>63</v>
      </c>
      <c r="F71" s="15">
        <v>0.096</v>
      </c>
      <c r="G71" s="15">
        <v>0.084</v>
      </c>
      <c r="H71" s="15" t="s">
        <v>83</v>
      </c>
      <c r="I71" s="15" t="s">
        <v>38</v>
      </c>
      <c r="J71" s="15" t="s">
        <v>403</v>
      </c>
      <c r="K71" s="16">
        <f>F71*1.06</f>
      </c>
      <c r="L71" s="17">
        <v>109.52</v>
      </c>
      <c r="M71" s="32">
        <v>369</v>
      </c>
      <c r="N71" s="32"/>
      <c r="O71" s="33">
        <f>IFERROR((N71-M71)*K71,0)</f>
      </c>
      <c r="P71" s="32">
        <v>237.76569037656904</v>
      </c>
      <c r="Q71" s="32">
        <v>369</v>
      </c>
      <c r="R71" s="32"/>
      <c r="S71" s="34">
        <f>IFERROR((P71/Q71)*R71,0)</f>
      </c>
      <c r="T71" s="34">
        <f>IFERROR((S71-P71)*((F71-G71)*0.8),0)</f>
      </c>
      <c r="U71" s="35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311</v>
      </c>
      <c r="D72" s="7" t="s">
        <v>65</v>
      </c>
      <c r="E72" s="7" t="s">
        <v>66</v>
      </c>
      <c r="F72" s="7">
        <v>0.077</v>
      </c>
      <c r="G72" s="7">
        <v>0.069</v>
      </c>
      <c r="H72" s="7" t="s">
        <v>83</v>
      </c>
      <c r="I72" s="7" t="s">
        <v>38</v>
      </c>
      <c r="J72" s="7" t="s">
        <v>404</v>
      </c>
      <c r="K72" s="8">
        <f>F72*1.06</f>
      </c>
      <c r="L72" s="9">
        <v>81.73</v>
      </c>
      <c r="M72" s="28">
        <v>369</v>
      </c>
      <c r="N72" s="28"/>
      <c r="O72" s="29">
        <f>IFERROR((N72-M72)*K72,0)</f>
      </c>
      <c r="P72" s="28">
        <v>237.76569037656904</v>
      </c>
      <c r="Q72" s="28">
        <v>369</v>
      </c>
      <c r="R72" s="28"/>
      <c r="S72" s="30">
        <f>IFERROR((P72/Q72)*R72,0)</f>
      </c>
      <c r="T72" s="30">
        <f>IFERROR((S72-P72)*((F72-G72)*0.8),0)</f>
      </c>
      <c r="U72" s="31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311</v>
      </c>
      <c r="D73" s="15" t="s">
        <v>223</v>
      </c>
      <c r="E73" s="15" t="s">
        <v>224</v>
      </c>
      <c r="F73" s="15">
        <v>0.358</v>
      </c>
      <c r="G73" s="15">
        <v>0.326</v>
      </c>
      <c r="H73" s="15" t="s">
        <v>83</v>
      </c>
      <c r="I73" s="15" t="s">
        <v>38</v>
      </c>
      <c r="J73" s="15" t="s">
        <v>405</v>
      </c>
      <c r="K73" s="16">
        <f>F73*1.06</f>
      </c>
      <c r="L73" s="17">
        <v>273.27</v>
      </c>
      <c r="M73" s="32">
        <v>369</v>
      </c>
      <c r="N73" s="32"/>
      <c r="O73" s="33">
        <f>IFERROR((N73-M73)*K73,0)</f>
      </c>
      <c r="P73" s="32">
        <v>237.76569037656904</v>
      </c>
      <c r="Q73" s="32">
        <v>369</v>
      </c>
      <c r="R73" s="32"/>
      <c r="S73" s="34">
        <f>IFERROR((P73/Q73)*R73,0)</f>
      </c>
      <c r="T73" s="34">
        <f>IFERROR((S73-P73)*((F73-G73)*0.8),0)</f>
      </c>
      <c r="U73" s="35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311</v>
      </c>
      <c r="D74" s="7" t="s">
        <v>182</v>
      </c>
      <c r="E74" s="7" t="s">
        <v>183</v>
      </c>
      <c r="F74" s="7">
        <v>0.435</v>
      </c>
      <c r="G74" s="7">
        <v>0.425</v>
      </c>
      <c r="H74" s="7" t="s">
        <v>83</v>
      </c>
      <c r="I74" s="7" t="s">
        <v>38</v>
      </c>
      <c r="J74" s="7" t="s">
        <v>406</v>
      </c>
      <c r="K74" s="8">
        <f>F74*1.06</f>
      </c>
      <c r="L74" s="9">
        <v>283.94</v>
      </c>
      <c r="M74" s="28">
        <v>369</v>
      </c>
      <c r="N74" s="28"/>
      <c r="O74" s="29">
        <f>IFERROR((N74-M74)*K74,0)</f>
      </c>
      <c r="P74" s="28">
        <v>237.76569037656904</v>
      </c>
      <c r="Q74" s="28">
        <v>369</v>
      </c>
      <c r="R74" s="28"/>
      <c r="S74" s="30">
        <f>IFERROR((P74/Q74)*R74,0)</f>
      </c>
      <c r="T74" s="30">
        <f>IFERROR((S74-P74)*((F74-G74)*0.8),0)</f>
      </c>
      <c r="U74" s="31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311</v>
      </c>
      <c r="D75" s="15" t="s">
        <v>119</v>
      </c>
      <c r="E75" s="15" t="s">
        <v>120</v>
      </c>
      <c r="F75" s="15">
        <v>0.361</v>
      </c>
      <c r="G75" s="15">
        <v>0.321</v>
      </c>
      <c r="H75" s="15" t="s">
        <v>83</v>
      </c>
      <c r="I75" s="15" t="s">
        <v>38</v>
      </c>
      <c r="J75" s="15" t="s">
        <v>407</v>
      </c>
      <c r="K75" s="16">
        <f>F75*1.06</f>
      </c>
      <c r="L75" s="17">
        <v>215.84</v>
      </c>
      <c r="M75" s="32">
        <v>369</v>
      </c>
      <c r="N75" s="32"/>
      <c r="O75" s="33">
        <f>IFERROR((N75-M75)*K75,0)</f>
      </c>
      <c r="P75" s="32">
        <v>237.76569037656904</v>
      </c>
      <c r="Q75" s="32">
        <v>369</v>
      </c>
      <c r="R75" s="32"/>
      <c r="S75" s="34">
        <f>IFERROR((P75/Q75)*R75,0)</f>
      </c>
      <c r="T75" s="34">
        <f>IFERROR((S75-P75)*((F75-G75)*0.8),0)</f>
      </c>
      <c r="U75" s="35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311</v>
      </c>
      <c r="D76" s="7" t="s">
        <v>116</v>
      </c>
      <c r="E76" s="7" t="s">
        <v>117</v>
      </c>
      <c r="F76" s="7">
        <v>0.322</v>
      </c>
      <c r="G76" s="7">
        <v>0.29</v>
      </c>
      <c r="H76" s="7" t="s">
        <v>83</v>
      </c>
      <c r="I76" s="7" t="s">
        <v>38</v>
      </c>
      <c r="J76" s="7" t="s">
        <v>408</v>
      </c>
      <c r="K76" s="8">
        <f>F76*1.06</f>
      </c>
      <c r="L76" s="9">
        <v>204.94</v>
      </c>
      <c r="M76" s="28">
        <v>369</v>
      </c>
      <c r="N76" s="28"/>
      <c r="O76" s="29">
        <f>IFERROR((N76-M76)*K76,0)</f>
      </c>
      <c r="P76" s="28">
        <v>237.76569037656904</v>
      </c>
      <c r="Q76" s="28">
        <v>369</v>
      </c>
      <c r="R76" s="28"/>
      <c r="S76" s="30">
        <f>IFERROR((P76/Q76)*R76,0)</f>
      </c>
      <c r="T76" s="30">
        <f>IFERROR((S76-P76)*((F76-G76)*0.8),0)</f>
      </c>
      <c r="U76" s="31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311</v>
      </c>
      <c r="D77" s="15" t="s">
        <v>198</v>
      </c>
      <c r="E77" s="15" t="s">
        <v>199</v>
      </c>
      <c r="F77" s="15">
        <v>0.164</v>
      </c>
      <c r="G77" s="15">
        <v>0.1</v>
      </c>
      <c r="H77" s="15" t="s">
        <v>83</v>
      </c>
      <c r="I77" s="15" t="s">
        <v>38</v>
      </c>
      <c r="J77" s="15" t="s">
        <v>409</v>
      </c>
      <c r="K77" s="16">
        <f>F77*1.06</f>
      </c>
      <c r="L77" s="17">
        <v>107.76</v>
      </c>
      <c r="M77" s="32">
        <v>369</v>
      </c>
      <c r="N77" s="32"/>
      <c r="O77" s="33">
        <f>IFERROR((N77-M77)*K77,0)</f>
      </c>
      <c r="P77" s="32">
        <v>237.76569037656904</v>
      </c>
      <c r="Q77" s="32">
        <v>369</v>
      </c>
      <c r="R77" s="32"/>
      <c r="S77" s="34">
        <f>IFERROR((P77/Q77)*R77,0)</f>
      </c>
      <c r="T77" s="34">
        <f>IFERROR((S77-P77)*((F77-G77)*0.8),0)</f>
      </c>
      <c r="U77" s="35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311</v>
      </c>
      <c r="D78" s="7" t="s">
        <v>113</v>
      </c>
      <c r="E78" s="7" t="s">
        <v>114</v>
      </c>
      <c r="F78" s="7">
        <v>1.25</v>
      </c>
      <c r="G78" s="7">
        <v>1.25</v>
      </c>
      <c r="H78" s="7" t="s">
        <v>83</v>
      </c>
      <c r="I78" s="7" t="s">
        <v>71</v>
      </c>
      <c r="J78" s="7" t="s">
        <v>410</v>
      </c>
      <c r="K78" s="8">
        <f>F78*1.06</f>
      </c>
      <c r="L78" s="9">
        <v>672.41</v>
      </c>
      <c r="M78" s="28">
        <v>377</v>
      </c>
      <c r="N78" s="28"/>
      <c r="O78" s="29">
        <f>IFERROR((N78-M78)*K78,0)</f>
      </c>
      <c r="P78" s="36" t="s">
        <v>85</v>
      </c>
      <c r="Q78" s="36" t="s">
        <v>85</v>
      </c>
      <c r="R78" s="36" t="s">
        <v>85</v>
      </c>
      <c r="S78" s="36" t="s">
        <v>85</v>
      </c>
      <c r="T78" s="30">
        <v>0</v>
      </c>
      <c r="U78" s="31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311</v>
      </c>
      <c r="D79" s="15" t="s">
        <v>110</v>
      </c>
      <c r="E79" s="15" t="s">
        <v>111</v>
      </c>
      <c r="F79" s="15">
        <v>1.25</v>
      </c>
      <c r="G79" s="15">
        <v>1.25</v>
      </c>
      <c r="H79" s="15" t="s">
        <v>83</v>
      </c>
      <c r="I79" s="15" t="s">
        <v>71</v>
      </c>
      <c r="J79" s="15" t="s">
        <v>411</v>
      </c>
      <c r="K79" s="16">
        <f>F79*1.06</f>
      </c>
      <c r="L79" s="17">
        <v>680.85</v>
      </c>
      <c r="M79" s="32">
        <v>377</v>
      </c>
      <c r="N79" s="32"/>
      <c r="O79" s="33">
        <f>IFERROR((N79-M79)*K79,0)</f>
      </c>
      <c r="P79" s="37" t="s">
        <v>85</v>
      </c>
      <c r="Q79" s="37" t="s">
        <v>85</v>
      </c>
      <c r="R79" s="37" t="s">
        <v>85</v>
      </c>
      <c r="S79" s="37" t="s">
        <v>85</v>
      </c>
      <c r="T79" s="34">
        <v>0</v>
      </c>
      <c r="U79" s="35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311</v>
      </c>
      <c r="D80" s="7" t="s">
        <v>107</v>
      </c>
      <c r="E80" s="7" t="s">
        <v>108</v>
      </c>
      <c r="F80" s="7">
        <v>1.521</v>
      </c>
      <c r="G80" s="7">
        <v>1.521</v>
      </c>
      <c r="H80" s="7" t="s">
        <v>83</v>
      </c>
      <c r="I80" s="7" t="s">
        <v>71</v>
      </c>
      <c r="J80" s="7" t="s">
        <v>412</v>
      </c>
      <c r="K80" s="8">
        <f>F80*1.06</f>
      </c>
      <c r="L80" s="9">
        <v>804.05</v>
      </c>
      <c r="M80" s="28">
        <v>377</v>
      </c>
      <c r="N80" s="28"/>
      <c r="O80" s="29">
        <f>IFERROR((N80-M80)*K80,0)</f>
      </c>
      <c r="P80" s="36" t="s">
        <v>85</v>
      </c>
      <c r="Q80" s="36" t="s">
        <v>85</v>
      </c>
      <c r="R80" s="36" t="s">
        <v>85</v>
      </c>
      <c r="S80" s="36" t="s">
        <v>85</v>
      </c>
      <c r="T80" s="30">
        <v>0</v>
      </c>
      <c r="U80" s="31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311</v>
      </c>
      <c r="D81" s="15" t="s">
        <v>105</v>
      </c>
      <c r="E81" s="15" t="s">
        <v>82</v>
      </c>
      <c r="F81" s="15">
        <v>1.383</v>
      </c>
      <c r="G81" s="15">
        <v>1.383</v>
      </c>
      <c r="H81" s="15" t="s">
        <v>83</v>
      </c>
      <c r="I81" s="15" t="s">
        <v>71</v>
      </c>
      <c r="J81" s="15" t="s">
        <v>413</v>
      </c>
      <c r="K81" s="16">
        <f>F81*1.06</f>
      </c>
      <c r="L81" s="17">
        <v>762.68</v>
      </c>
      <c r="M81" s="32">
        <v>377</v>
      </c>
      <c r="N81" s="32"/>
      <c r="O81" s="33">
        <f>IFERROR((N81-M81)*K81,0)</f>
      </c>
      <c r="P81" s="37" t="s">
        <v>85</v>
      </c>
      <c r="Q81" s="37" t="s">
        <v>85</v>
      </c>
      <c r="R81" s="37" t="s">
        <v>85</v>
      </c>
      <c r="S81" s="37" t="s">
        <v>85</v>
      </c>
      <c r="T81" s="34">
        <v>0</v>
      </c>
      <c r="U81" s="35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311</v>
      </c>
      <c r="D82" s="7" t="s">
        <v>208</v>
      </c>
      <c r="E82" s="7" t="s">
        <v>209</v>
      </c>
      <c r="F82" s="7">
        <v>0.218</v>
      </c>
      <c r="G82" s="7">
        <v>0.218</v>
      </c>
      <c r="H82" s="7" t="s">
        <v>83</v>
      </c>
      <c r="I82" s="7" t="s">
        <v>38</v>
      </c>
      <c r="J82" s="7" t="s">
        <v>414</v>
      </c>
      <c r="K82" s="8">
        <f>F82*1.06</f>
      </c>
      <c r="L82" s="9">
        <v>142.11</v>
      </c>
      <c r="M82" s="28">
        <v>369</v>
      </c>
      <c r="N82" s="28"/>
      <c r="O82" s="29">
        <f>IFERROR((N82-M82)*K82,0)</f>
      </c>
      <c r="P82" s="36" t="s">
        <v>85</v>
      </c>
      <c r="Q82" s="36" t="s">
        <v>85</v>
      </c>
      <c r="R82" s="36" t="s">
        <v>85</v>
      </c>
      <c r="S82" s="36" t="s">
        <v>85</v>
      </c>
      <c r="T82" s="30">
        <v>0</v>
      </c>
      <c r="U82" s="31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311</v>
      </c>
      <c r="D83" s="15" t="s">
        <v>68</v>
      </c>
      <c r="E83" s="15" t="s">
        <v>69</v>
      </c>
      <c r="F83" s="15">
        <v>0.444</v>
      </c>
      <c r="G83" s="15">
        <v>0.386</v>
      </c>
      <c r="H83" s="15" t="s">
        <v>83</v>
      </c>
      <c r="I83" s="15" t="s">
        <v>71</v>
      </c>
      <c r="J83" s="15" t="s">
        <v>415</v>
      </c>
      <c r="K83" s="16">
        <f>F83*1.06</f>
      </c>
      <c r="L83" s="17">
        <v>286.23</v>
      </c>
      <c r="M83" s="32">
        <v>377</v>
      </c>
      <c r="N83" s="32"/>
      <c r="O83" s="33">
        <f>IFERROR((N83-M83)*K83,0)</f>
      </c>
      <c r="P83" s="32">
        <v>237.76569037656904</v>
      </c>
      <c r="Q83" s="32">
        <v>369</v>
      </c>
      <c r="R83" s="32"/>
      <c r="S83" s="34">
        <f>IFERROR((P83/Q83)*R83,0)</f>
      </c>
      <c r="T83" s="34">
        <f>IFERROR((S83-P83)*((F83-G83)*0.8),0)</f>
      </c>
      <c r="U83" s="35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311</v>
      </c>
      <c r="D84" s="7" t="s">
        <v>227</v>
      </c>
      <c r="E84" s="7" t="s">
        <v>228</v>
      </c>
      <c r="F84" s="7">
        <v>0.3095</v>
      </c>
      <c r="G84" s="7">
        <v>0.29</v>
      </c>
      <c r="H84" s="7" t="s">
        <v>83</v>
      </c>
      <c r="I84" s="7" t="s">
        <v>38</v>
      </c>
      <c r="J84" s="7" t="s">
        <v>416</v>
      </c>
      <c r="K84" s="8">
        <f>F84*1.06</f>
      </c>
      <c r="L84" s="9">
        <v>233.12</v>
      </c>
      <c r="M84" s="28">
        <v>369</v>
      </c>
      <c r="N84" s="28"/>
      <c r="O84" s="29">
        <f>IFERROR((N84-M84)*K84,0)</f>
      </c>
      <c r="P84" s="28">
        <v>237.76569037656904</v>
      </c>
      <c r="Q84" s="28">
        <v>369</v>
      </c>
      <c r="R84" s="28"/>
      <c r="S84" s="30">
        <f>IFERROR((P84/Q84)*R84,0)</f>
      </c>
      <c r="T84" s="30">
        <f>IFERROR((S84-P84)*((F84-G84)*0.8),0)</f>
      </c>
      <c r="U84" s="31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311</v>
      </c>
      <c r="D85" s="15" t="s">
        <v>349</v>
      </c>
      <c r="E85" s="15" t="s">
        <v>328</v>
      </c>
      <c r="F85" s="15">
        <v>0.145</v>
      </c>
      <c r="G85" s="15">
        <v>0.145</v>
      </c>
      <c r="H85" s="15" t="s">
        <v>83</v>
      </c>
      <c r="I85" s="15" t="s">
        <v>38</v>
      </c>
      <c r="J85" s="15" t="s">
        <v>417</v>
      </c>
      <c r="K85" s="16">
        <f>F85*1.06</f>
      </c>
      <c r="L85" s="17">
        <v>98.63</v>
      </c>
      <c r="M85" s="32">
        <v>369</v>
      </c>
      <c r="N85" s="32"/>
      <c r="O85" s="33">
        <f>IFERROR((N85-M85)*K85,0)</f>
      </c>
      <c r="P85" s="37" t="s">
        <v>85</v>
      </c>
      <c r="Q85" s="37" t="s">
        <v>85</v>
      </c>
      <c r="R85" s="37" t="s">
        <v>85</v>
      </c>
      <c r="S85" s="37" t="s">
        <v>85</v>
      </c>
      <c r="T85" s="34">
        <v>0</v>
      </c>
      <c r="U85" s="35">
        <f>ROUND(L85+O85-T85,2)</f>
      </c>
      <c r="V85" s="21">
        <v>0</v>
      </c>
      <c r="W85" s="22">
        <f>(U85-L85)*V85/100000</f>
      </c>
    </row>
    <row r="86" spans="1:23" x14ac:dyDescent="0.25">
      <c r="A86" s="7">
        <v>83</v>
      </c>
      <c r="B86" s="7">
        <f>D86&amp;H86</f>
      </c>
      <c r="C86" s="7" t="s">
        <v>311</v>
      </c>
      <c r="D86" s="7" t="s">
        <v>190</v>
      </c>
      <c r="E86" s="7" t="s">
        <v>191</v>
      </c>
      <c r="F86" s="7">
        <v>1.027</v>
      </c>
      <c r="G86" s="7">
        <v>0.967</v>
      </c>
      <c r="H86" s="7" t="s">
        <v>83</v>
      </c>
      <c r="I86" s="7" t="s">
        <v>38</v>
      </c>
      <c r="J86" s="7" t="s">
        <v>418</v>
      </c>
      <c r="K86" s="8">
        <f>F86*1.06</f>
      </c>
      <c r="L86" s="9">
        <v>742.92</v>
      </c>
      <c r="M86" s="28">
        <v>369</v>
      </c>
      <c r="N86" s="28"/>
      <c r="O86" s="29">
        <f>IFERROR((N86-M86)*K86,0)</f>
      </c>
      <c r="P86" s="28">
        <v>237.76569037656904</v>
      </c>
      <c r="Q86" s="28">
        <v>369</v>
      </c>
      <c r="R86" s="28"/>
      <c r="S86" s="30">
        <f>IFERROR((P86/Q86)*R86,0)</f>
      </c>
      <c r="T86" s="30">
        <f>IFERROR((S86-P86)*((F86-G86)*0.8),0)</f>
      </c>
      <c r="U86" s="31">
        <f>ROUND(L86+O86-T86,2)</f>
      </c>
      <c r="V86" s="13">
        <v>0</v>
      </c>
      <c r="W86" s="14">
        <f>(U86-L86)*V86/100000</f>
      </c>
    </row>
    <row r="87" spans="1:23" x14ac:dyDescent="0.25">
      <c r="A87" s="25" t="s">
        <v>122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6">
        <f>SUM(V4:V86)</f>
      </c>
      <c r="W87" s="27">
        <f>SUM(W4:W86)</f>
      </c>
    </row>
  </sheetData>
  <autoFilter ref="A3:W86"/>
  <mergeCells count="3">
    <mergeCell ref="A1:W1"/>
    <mergeCell ref="A2:D2"/>
    <mergeCell ref="A87:U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9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420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W93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421</v>
      </c>
      <c r="D4" s="7" t="s">
        <v>422</v>
      </c>
      <c r="E4" s="7" t="s">
        <v>423</v>
      </c>
      <c r="F4" s="7">
        <v>0.046</v>
      </c>
      <c r="G4" s="7">
        <v>0.045</v>
      </c>
      <c r="H4" s="7" t="s">
        <v>37</v>
      </c>
      <c r="I4" s="7" t="s">
        <v>38</v>
      </c>
      <c r="J4" s="7" t="s">
        <v>424</v>
      </c>
      <c r="K4" s="8">
        <f>F4*1.06</f>
      </c>
      <c r="L4" s="9">
        <v>31.77</v>
      </c>
      <c r="M4" s="10">
        <v>239</v>
      </c>
      <c r="N4" s="10">
        <v>369</v>
      </c>
      <c r="O4" s="11">
        <f>IFERROR((N4-M4)*K4,0)</f>
      </c>
      <c r="P4" s="10">
        <v>154</v>
      </c>
      <c r="Q4" s="10">
        <v>239</v>
      </c>
      <c r="R4" s="10">
        <v>369</v>
      </c>
      <c r="S4" s="8">
        <f>IFERROR((P4/Q4)*R4,0)</f>
      </c>
      <c r="T4" s="8">
        <f>IFERROR((S4-P4)*((F4-G4)*0.8),0)</f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421</v>
      </c>
      <c r="D5" s="15" t="s">
        <v>425</v>
      </c>
      <c r="E5" s="15" t="s">
        <v>426</v>
      </c>
      <c r="F5" s="15">
        <v>0.047</v>
      </c>
      <c r="G5" s="15">
        <v>0.042</v>
      </c>
      <c r="H5" s="15" t="s">
        <v>37</v>
      </c>
      <c r="I5" s="15" t="s">
        <v>38</v>
      </c>
      <c r="J5" s="15" t="s">
        <v>427</v>
      </c>
      <c r="K5" s="16">
        <f>F5*1.06</f>
      </c>
      <c r="L5" s="17">
        <v>31.65</v>
      </c>
      <c r="M5" s="18">
        <v>239</v>
      </c>
      <c r="N5" s="18">
        <v>369</v>
      </c>
      <c r="O5" s="19">
        <f>IFERROR((N5-M5)*K5,0)</f>
      </c>
      <c r="P5" s="18">
        <v>154</v>
      </c>
      <c r="Q5" s="18">
        <v>239</v>
      </c>
      <c r="R5" s="18">
        <v>369</v>
      </c>
      <c r="S5" s="16">
        <f>IFERROR((P5/Q5)*R5,0)</f>
      </c>
      <c r="T5" s="16">
        <f>IFERROR((S5-P5)*((F5-G5)*0.8),0)</f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421</v>
      </c>
      <c r="D6" s="7" t="s">
        <v>428</v>
      </c>
      <c r="E6" s="7" t="s">
        <v>429</v>
      </c>
      <c r="F6" s="7">
        <v>0.535</v>
      </c>
      <c r="G6" s="7">
        <v>0.468</v>
      </c>
      <c r="H6" s="7" t="s">
        <v>37</v>
      </c>
      <c r="I6" s="7" t="s">
        <v>71</v>
      </c>
      <c r="J6" s="7" t="s">
        <v>430</v>
      </c>
      <c r="K6" s="8">
        <f>F6*1.06</f>
      </c>
      <c r="L6" s="9">
        <v>262.68</v>
      </c>
      <c r="M6" s="10">
        <v>231</v>
      </c>
      <c r="N6" s="10">
        <v>377</v>
      </c>
      <c r="O6" s="11">
        <f>IFERROR((N6-M6)*K6,0)</f>
      </c>
      <c r="P6" s="10">
        <v>154</v>
      </c>
      <c r="Q6" s="10">
        <v>239</v>
      </c>
      <c r="R6" s="10">
        <v>369</v>
      </c>
      <c r="S6" s="8">
        <f>IFERROR((P6/Q6)*R6,0)</f>
      </c>
      <c r="T6" s="8">
        <f>IFERROR((S6-P6)*((F6-G6)*0.8),0)</f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421</v>
      </c>
      <c r="D7" s="15" t="s">
        <v>431</v>
      </c>
      <c r="E7" s="15" t="s">
        <v>432</v>
      </c>
      <c r="F7" s="15">
        <v>0.715</v>
      </c>
      <c r="G7" s="15">
        <v>0.677</v>
      </c>
      <c r="H7" s="15" t="s">
        <v>37</v>
      </c>
      <c r="I7" s="15" t="s">
        <v>38</v>
      </c>
      <c r="J7" s="15" t="s">
        <v>433</v>
      </c>
      <c r="K7" s="16">
        <f>F7*1.06</f>
      </c>
      <c r="L7" s="17">
        <v>281.83</v>
      </c>
      <c r="M7" s="18">
        <v>239</v>
      </c>
      <c r="N7" s="18">
        <v>369</v>
      </c>
      <c r="O7" s="19">
        <f>IFERROR((N7-M7)*K7,0)</f>
      </c>
      <c r="P7" s="18">
        <v>154</v>
      </c>
      <c r="Q7" s="18">
        <v>239</v>
      </c>
      <c r="R7" s="18">
        <v>369</v>
      </c>
      <c r="S7" s="16">
        <f>IFERROR((P7/Q7)*R7,0)</f>
      </c>
      <c r="T7" s="16">
        <f>IFERROR((S7-P7)*((F7-G7)*0.8),0)</f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421</v>
      </c>
      <c r="D8" s="7" t="s">
        <v>434</v>
      </c>
      <c r="E8" s="7" t="s">
        <v>435</v>
      </c>
      <c r="F8" s="7">
        <v>0.455</v>
      </c>
      <c r="G8" s="7">
        <v>0.412</v>
      </c>
      <c r="H8" s="7" t="s">
        <v>37</v>
      </c>
      <c r="I8" s="7" t="s">
        <v>38</v>
      </c>
      <c r="J8" s="7" t="s">
        <v>436</v>
      </c>
      <c r="K8" s="8">
        <f>F8*1.06</f>
      </c>
      <c r="L8" s="9">
        <v>255.19</v>
      </c>
      <c r="M8" s="10">
        <v>239</v>
      </c>
      <c r="N8" s="10">
        <v>369</v>
      </c>
      <c r="O8" s="11">
        <f>IFERROR((N8-M8)*K8,0)</f>
      </c>
      <c r="P8" s="10">
        <v>154</v>
      </c>
      <c r="Q8" s="10">
        <v>239</v>
      </c>
      <c r="R8" s="10">
        <v>369</v>
      </c>
      <c r="S8" s="8">
        <f>IFERROR((P8/Q8)*R8,0)</f>
      </c>
      <c r="T8" s="8">
        <f>IFERROR((S8-P8)*((F8-G8)*0.8),0)</f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421</v>
      </c>
      <c r="D9" s="15" t="s">
        <v>342</v>
      </c>
      <c r="E9" s="15" t="s">
        <v>343</v>
      </c>
      <c r="F9" s="15">
        <v>0.193</v>
      </c>
      <c r="G9" s="15">
        <v>0.169</v>
      </c>
      <c r="H9" s="15" t="s">
        <v>37</v>
      </c>
      <c r="I9" s="15" t="s">
        <v>71</v>
      </c>
      <c r="J9" s="15" t="s">
        <v>437</v>
      </c>
      <c r="K9" s="16">
        <f>F9*1.06</f>
      </c>
      <c r="L9" s="17">
        <v>98.68</v>
      </c>
      <c r="M9" s="18">
        <v>231</v>
      </c>
      <c r="N9" s="18">
        <v>377</v>
      </c>
      <c r="O9" s="19">
        <f>IFERROR((N9-M9)*K9,0)</f>
      </c>
      <c r="P9" s="18">
        <v>154</v>
      </c>
      <c r="Q9" s="18">
        <v>239</v>
      </c>
      <c r="R9" s="18">
        <v>369</v>
      </c>
      <c r="S9" s="16">
        <f>IFERROR((P9/Q9)*R9,0)</f>
      </c>
      <c r="T9" s="16">
        <f>IFERROR((S9-P9)*((F9-G9)*0.8),0)</f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421</v>
      </c>
      <c r="D10" s="7" t="s">
        <v>438</v>
      </c>
      <c r="E10" s="7" t="s">
        <v>439</v>
      </c>
      <c r="F10" s="7">
        <v>0.133</v>
      </c>
      <c r="G10" s="7">
        <v>0.119</v>
      </c>
      <c r="H10" s="7" t="s">
        <v>37</v>
      </c>
      <c r="I10" s="7" t="s">
        <v>38</v>
      </c>
      <c r="J10" s="7" t="s">
        <v>440</v>
      </c>
      <c r="K10" s="8">
        <f>F10*1.06</f>
      </c>
      <c r="L10" s="9">
        <v>75.38</v>
      </c>
      <c r="M10" s="10">
        <v>239</v>
      </c>
      <c r="N10" s="10">
        <v>369</v>
      </c>
      <c r="O10" s="11">
        <f>IFERROR((N10-M10)*K10,0)</f>
      </c>
      <c r="P10" s="10">
        <v>154</v>
      </c>
      <c r="Q10" s="10">
        <v>239</v>
      </c>
      <c r="R10" s="10">
        <v>369</v>
      </c>
      <c r="S10" s="8">
        <f>IFERROR((P10/Q10)*R10,0)</f>
      </c>
      <c r="T10" s="8">
        <f>IFERROR((S10-P10)*((F10-G10)*0.8),0)</f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421</v>
      </c>
      <c r="D11" s="15" t="s">
        <v>441</v>
      </c>
      <c r="E11" s="15" t="s">
        <v>442</v>
      </c>
      <c r="F11" s="15">
        <v>0.17</v>
      </c>
      <c r="G11" s="15">
        <v>0.15</v>
      </c>
      <c r="H11" s="15" t="s">
        <v>37</v>
      </c>
      <c r="I11" s="15" t="s">
        <v>38</v>
      </c>
      <c r="J11" s="15" t="s">
        <v>443</v>
      </c>
      <c r="K11" s="16">
        <f>F11*1.06</f>
      </c>
      <c r="L11" s="17">
        <v>87.34</v>
      </c>
      <c r="M11" s="18">
        <v>239</v>
      </c>
      <c r="N11" s="18">
        <v>369</v>
      </c>
      <c r="O11" s="19">
        <f>IFERROR((N11-M11)*K11,0)</f>
      </c>
      <c r="P11" s="18">
        <v>154</v>
      </c>
      <c r="Q11" s="18">
        <v>239</v>
      </c>
      <c r="R11" s="18">
        <v>369</v>
      </c>
      <c r="S11" s="16">
        <f>IFERROR((P11/Q11)*R11,0)</f>
      </c>
      <c r="T11" s="16">
        <f>IFERROR((S11-P11)*((F11-G11)*0.8),0)</f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421</v>
      </c>
      <c r="D12" s="7" t="s">
        <v>444</v>
      </c>
      <c r="E12" s="7" t="s">
        <v>445</v>
      </c>
      <c r="F12" s="7">
        <v>0.145</v>
      </c>
      <c r="G12" s="7">
        <v>0.145</v>
      </c>
      <c r="H12" s="7" t="s">
        <v>37</v>
      </c>
      <c r="I12" s="7" t="s">
        <v>71</v>
      </c>
      <c r="J12" s="7" t="s">
        <v>446</v>
      </c>
      <c r="K12" s="8">
        <f>F12*1.06</f>
      </c>
      <c r="L12" s="9">
        <v>69.2</v>
      </c>
      <c r="M12" s="10">
        <v>231</v>
      </c>
      <c r="N12" s="10">
        <v>377</v>
      </c>
      <c r="O12" s="11">
        <f>IFERROR((N12-M12)*K12,0)</f>
      </c>
      <c r="P12" s="23" t="s">
        <v>85</v>
      </c>
      <c r="Q12" s="23" t="s">
        <v>85</v>
      </c>
      <c r="R12" s="23" t="s">
        <v>85</v>
      </c>
      <c r="S12" s="23" t="s">
        <v>85</v>
      </c>
      <c r="T12" s="8">
        <v>0</v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421</v>
      </c>
      <c r="D13" s="15" t="s">
        <v>447</v>
      </c>
      <c r="E13" s="15" t="s">
        <v>448</v>
      </c>
      <c r="F13" s="15">
        <v>0.213</v>
      </c>
      <c r="G13" s="15">
        <v>0.198</v>
      </c>
      <c r="H13" s="15" t="s">
        <v>37</v>
      </c>
      <c r="I13" s="15" t="s">
        <v>71</v>
      </c>
      <c r="J13" s="15" t="s">
        <v>449</v>
      </c>
      <c r="K13" s="16">
        <f>F13*1.06</f>
      </c>
      <c r="L13" s="17">
        <v>108.14</v>
      </c>
      <c r="M13" s="18">
        <v>231</v>
      </c>
      <c r="N13" s="18">
        <v>377</v>
      </c>
      <c r="O13" s="19">
        <f>IFERROR((N13-M13)*K13,0)</f>
      </c>
      <c r="P13" s="18">
        <v>154</v>
      </c>
      <c r="Q13" s="18">
        <v>239</v>
      </c>
      <c r="R13" s="18">
        <v>369</v>
      </c>
      <c r="S13" s="16">
        <f>IFERROR((P13/Q13)*R13,0)</f>
      </c>
      <c r="T13" s="16">
        <f>IFERROR((S13-P13)*((F13-G13)*0.8),0)</f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421</v>
      </c>
      <c r="D14" s="7" t="s">
        <v>450</v>
      </c>
      <c r="E14" s="7" t="s">
        <v>451</v>
      </c>
      <c r="F14" s="7">
        <v>0.528</v>
      </c>
      <c r="G14" s="7">
        <v>0.465</v>
      </c>
      <c r="H14" s="7" t="s">
        <v>37</v>
      </c>
      <c r="I14" s="7" t="s">
        <v>71</v>
      </c>
      <c r="J14" s="7" t="s">
        <v>452</v>
      </c>
      <c r="K14" s="8">
        <f>F14*1.06</f>
      </c>
      <c r="L14" s="9">
        <v>257.26</v>
      </c>
      <c r="M14" s="10">
        <v>231</v>
      </c>
      <c r="N14" s="10">
        <v>377</v>
      </c>
      <c r="O14" s="11">
        <f>IFERROR((N14-M14)*K14,0)</f>
      </c>
      <c r="P14" s="10">
        <v>154</v>
      </c>
      <c r="Q14" s="10">
        <v>239</v>
      </c>
      <c r="R14" s="10">
        <v>369</v>
      </c>
      <c r="S14" s="8">
        <f>IFERROR((P14/Q14)*R14,0)</f>
      </c>
      <c r="T14" s="8">
        <f>IFERROR((S14-P14)*((F14-G14)*0.8),0)</f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421</v>
      </c>
      <c r="D15" s="15" t="s">
        <v>244</v>
      </c>
      <c r="E15" s="15" t="s">
        <v>242</v>
      </c>
      <c r="F15" s="15">
        <v>0.304</v>
      </c>
      <c r="G15" s="15">
        <v>0.264</v>
      </c>
      <c r="H15" s="15" t="s">
        <v>37</v>
      </c>
      <c r="I15" s="15" t="s">
        <v>71</v>
      </c>
      <c r="J15" s="15" t="s">
        <v>453</v>
      </c>
      <c r="K15" s="16">
        <f>F15*1.06</f>
      </c>
      <c r="L15" s="17">
        <v>152.48</v>
      </c>
      <c r="M15" s="18">
        <v>231</v>
      </c>
      <c r="N15" s="18">
        <v>377</v>
      </c>
      <c r="O15" s="19">
        <f>IFERROR((N15-M15)*K15,0)</f>
      </c>
      <c r="P15" s="18">
        <v>154</v>
      </c>
      <c r="Q15" s="18">
        <v>239</v>
      </c>
      <c r="R15" s="18">
        <v>369</v>
      </c>
      <c r="S15" s="16">
        <f>IFERROR((P15/Q15)*R15,0)</f>
      </c>
      <c r="T15" s="16">
        <f>IFERROR((S15-P15)*((F15-G15)*0.8),0)</f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421</v>
      </c>
      <c r="D16" s="7" t="s">
        <v>246</v>
      </c>
      <c r="E16" s="7" t="s">
        <v>242</v>
      </c>
      <c r="F16" s="7">
        <v>0.287</v>
      </c>
      <c r="G16" s="7">
        <v>0.252</v>
      </c>
      <c r="H16" s="7" t="s">
        <v>37</v>
      </c>
      <c r="I16" s="7" t="s">
        <v>71</v>
      </c>
      <c r="J16" s="7" t="s">
        <v>454</v>
      </c>
      <c r="K16" s="8">
        <f>F16*1.06</f>
      </c>
      <c r="L16" s="9">
        <v>152.53</v>
      </c>
      <c r="M16" s="10">
        <v>231</v>
      </c>
      <c r="N16" s="10">
        <v>377</v>
      </c>
      <c r="O16" s="11">
        <f>IFERROR((N16-M16)*K16,0)</f>
      </c>
      <c r="P16" s="10">
        <v>154</v>
      </c>
      <c r="Q16" s="10">
        <v>239</v>
      </c>
      <c r="R16" s="10">
        <v>369</v>
      </c>
      <c r="S16" s="8">
        <f>IFERROR((P16/Q16)*R16,0)</f>
      </c>
      <c r="T16" s="8">
        <f>IFERROR((S16-P16)*((F16-G16)*0.8),0)</f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421</v>
      </c>
      <c r="D17" s="15" t="s">
        <v>455</v>
      </c>
      <c r="E17" s="15" t="s">
        <v>456</v>
      </c>
      <c r="F17" s="15">
        <v>0.528</v>
      </c>
      <c r="G17" s="15">
        <v>0.465</v>
      </c>
      <c r="H17" s="15" t="s">
        <v>37</v>
      </c>
      <c r="I17" s="15" t="s">
        <v>71</v>
      </c>
      <c r="J17" s="15" t="s">
        <v>457</v>
      </c>
      <c r="K17" s="16">
        <f>F17*1.06</f>
      </c>
      <c r="L17" s="17">
        <v>257.1</v>
      </c>
      <c r="M17" s="18">
        <v>231</v>
      </c>
      <c r="N17" s="18">
        <v>377</v>
      </c>
      <c r="O17" s="19">
        <f>IFERROR((N17-M17)*K17,0)</f>
      </c>
      <c r="P17" s="18">
        <v>154</v>
      </c>
      <c r="Q17" s="18">
        <v>239</v>
      </c>
      <c r="R17" s="18">
        <v>369</v>
      </c>
      <c r="S17" s="16">
        <f>IFERROR((P17/Q17)*R17,0)</f>
      </c>
      <c r="T17" s="16">
        <f>IFERROR((S17-P17)*((F17-G17)*0.8),0)</f>
      </c>
      <c r="U17" s="20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421</v>
      </c>
      <c r="D18" s="7" t="s">
        <v>241</v>
      </c>
      <c r="E18" s="7" t="s">
        <v>242</v>
      </c>
      <c r="F18" s="7">
        <v>0.3</v>
      </c>
      <c r="G18" s="7">
        <v>0.24</v>
      </c>
      <c r="H18" s="7" t="s">
        <v>37</v>
      </c>
      <c r="I18" s="7" t="s">
        <v>71</v>
      </c>
      <c r="J18" s="7" t="s">
        <v>458</v>
      </c>
      <c r="K18" s="8">
        <f>F18*1.06</f>
      </c>
      <c r="L18" s="9">
        <v>153.11</v>
      </c>
      <c r="M18" s="10">
        <v>231</v>
      </c>
      <c r="N18" s="10">
        <v>377</v>
      </c>
      <c r="O18" s="11">
        <f>IFERROR((N18-M18)*K18,0)</f>
      </c>
      <c r="P18" s="10">
        <v>154</v>
      </c>
      <c r="Q18" s="10">
        <v>239</v>
      </c>
      <c r="R18" s="10">
        <v>369</v>
      </c>
      <c r="S18" s="8">
        <f>IFERROR((P18/Q18)*R18,0)</f>
      </c>
      <c r="T18" s="8">
        <f>IFERROR((S18-P18)*((F18-G18)*0.8),0)</f>
      </c>
      <c r="U18" s="12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421</v>
      </c>
      <c r="D19" s="15" t="s">
        <v>459</v>
      </c>
      <c r="E19" s="15" t="s">
        <v>460</v>
      </c>
      <c r="F19" s="15">
        <v>1.052</v>
      </c>
      <c r="G19" s="15">
        <v>1.032</v>
      </c>
      <c r="H19" s="15" t="s">
        <v>37</v>
      </c>
      <c r="I19" s="15" t="s">
        <v>71</v>
      </c>
      <c r="J19" s="15" t="s">
        <v>461</v>
      </c>
      <c r="K19" s="16">
        <f>F19*1.06</f>
      </c>
      <c r="L19" s="17">
        <v>367.97</v>
      </c>
      <c r="M19" s="18">
        <v>231</v>
      </c>
      <c r="N19" s="18">
        <v>377</v>
      </c>
      <c r="O19" s="19">
        <f>IFERROR((N19-M19)*K19,0)</f>
      </c>
      <c r="P19" s="18">
        <v>154</v>
      </c>
      <c r="Q19" s="18">
        <v>239</v>
      </c>
      <c r="R19" s="18">
        <v>369</v>
      </c>
      <c r="S19" s="16">
        <f>IFERROR((P19/Q19)*R19,0)</f>
      </c>
      <c r="T19" s="16">
        <f>IFERROR((S19-P19)*((F19-G19)*0.8),0)</f>
      </c>
      <c r="U19" s="20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421</v>
      </c>
      <c r="D20" s="7" t="s">
        <v>462</v>
      </c>
      <c r="E20" s="7" t="s">
        <v>463</v>
      </c>
      <c r="F20" s="7">
        <v>0.111</v>
      </c>
      <c r="G20" s="7">
        <v>0.006</v>
      </c>
      <c r="H20" s="7" t="s">
        <v>37</v>
      </c>
      <c r="I20" s="7" t="s">
        <v>71</v>
      </c>
      <c r="J20" s="7" t="s">
        <v>464</v>
      </c>
      <c r="K20" s="8">
        <f>F20*1.06</f>
      </c>
      <c r="L20" s="9">
        <v>53.26</v>
      </c>
      <c r="M20" s="10">
        <v>231</v>
      </c>
      <c r="N20" s="10">
        <v>377</v>
      </c>
      <c r="O20" s="11">
        <f>IFERROR((N20-M20)*K20,0)</f>
      </c>
      <c r="P20" s="10">
        <v>154</v>
      </c>
      <c r="Q20" s="10">
        <v>239</v>
      </c>
      <c r="R20" s="10">
        <v>369</v>
      </c>
      <c r="S20" s="8">
        <f>IFERROR((P20/Q20)*R20,0)</f>
      </c>
      <c r="T20" s="8">
        <f>IFERROR((S20-P20)*((F20-G20)*0.8),0)</f>
      </c>
      <c r="U20" s="12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421</v>
      </c>
      <c r="D21" s="15" t="s">
        <v>465</v>
      </c>
      <c r="E21" s="15" t="s">
        <v>466</v>
      </c>
      <c r="F21" s="15">
        <v>1.022</v>
      </c>
      <c r="G21" s="15">
        <v>1.022</v>
      </c>
      <c r="H21" s="15" t="s">
        <v>37</v>
      </c>
      <c r="I21" s="15" t="s">
        <v>38</v>
      </c>
      <c r="J21" s="15" t="s">
        <v>467</v>
      </c>
      <c r="K21" s="16">
        <f>F21*1.06</f>
      </c>
      <c r="L21" s="17">
        <v>348</v>
      </c>
      <c r="M21" s="18">
        <v>239</v>
      </c>
      <c r="N21" s="18">
        <v>369</v>
      </c>
      <c r="O21" s="19">
        <f>IFERROR((N21-M21)*K21,0)</f>
      </c>
      <c r="P21" s="24" t="s">
        <v>85</v>
      </c>
      <c r="Q21" s="24" t="s">
        <v>85</v>
      </c>
      <c r="R21" s="24" t="s">
        <v>85</v>
      </c>
      <c r="S21" s="24" t="s">
        <v>85</v>
      </c>
      <c r="T21" s="16">
        <v>0</v>
      </c>
      <c r="U21" s="20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421</v>
      </c>
      <c r="D22" s="7" t="s">
        <v>468</v>
      </c>
      <c r="E22" s="7" t="s">
        <v>451</v>
      </c>
      <c r="F22" s="7">
        <v>0.518</v>
      </c>
      <c r="G22" s="7">
        <v>0.47</v>
      </c>
      <c r="H22" s="7" t="s">
        <v>37</v>
      </c>
      <c r="I22" s="7" t="s">
        <v>71</v>
      </c>
      <c r="J22" s="7" t="s">
        <v>469</v>
      </c>
      <c r="K22" s="8">
        <f>F22*1.06</f>
      </c>
      <c r="L22" s="9">
        <v>251.66</v>
      </c>
      <c r="M22" s="10">
        <v>231</v>
      </c>
      <c r="N22" s="10">
        <v>377</v>
      </c>
      <c r="O22" s="11">
        <f>IFERROR((N22-M22)*K22,0)</f>
      </c>
      <c r="P22" s="10">
        <v>154</v>
      </c>
      <c r="Q22" s="10">
        <v>239</v>
      </c>
      <c r="R22" s="10">
        <v>369</v>
      </c>
      <c r="S22" s="8">
        <f>IFERROR((P22/Q22)*R22,0)</f>
      </c>
      <c r="T22" s="8">
        <f>IFERROR((S22-P22)*((F22-G22)*0.8),0)</f>
      </c>
      <c r="U22" s="12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421</v>
      </c>
      <c r="D23" s="15" t="s">
        <v>470</v>
      </c>
      <c r="E23" s="15" t="s">
        <v>471</v>
      </c>
      <c r="F23" s="15">
        <v>0.313</v>
      </c>
      <c r="G23" s="15">
        <v>0.313</v>
      </c>
      <c r="H23" s="15" t="s">
        <v>37</v>
      </c>
      <c r="I23" s="15" t="s">
        <v>38</v>
      </c>
      <c r="J23" s="15" t="s">
        <v>472</v>
      </c>
      <c r="K23" s="16">
        <f>F23*1.06</f>
      </c>
      <c r="L23" s="17">
        <v>147.09</v>
      </c>
      <c r="M23" s="18">
        <v>239</v>
      </c>
      <c r="N23" s="18">
        <v>369</v>
      </c>
      <c r="O23" s="19">
        <f>IFERROR((N23-M23)*K23,0)</f>
      </c>
      <c r="P23" s="24" t="s">
        <v>85</v>
      </c>
      <c r="Q23" s="24" t="s">
        <v>85</v>
      </c>
      <c r="R23" s="24" t="s">
        <v>85</v>
      </c>
      <c r="S23" s="24" t="s">
        <v>85</v>
      </c>
      <c r="T23" s="16">
        <v>0</v>
      </c>
      <c r="U23" s="20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421</v>
      </c>
      <c r="D24" s="7" t="s">
        <v>473</v>
      </c>
      <c r="E24" s="7" t="s">
        <v>474</v>
      </c>
      <c r="F24" s="7">
        <v>0.178</v>
      </c>
      <c r="G24" s="7">
        <v>0.159</v>
      </c>
      <c r="H24" s="7" t="s">
        <v>37</v>
      </c>
      <c r="I24" s="7" t="s">
        <v>71</v>
      </c>
      <c r="J24" s="7" t="s">
        <v>475</v>
      </c>
      <c r="K24" s="8">
        <f>F24*1.06</f>
      </c>
      <c r="L24" s="9">
        <v>95.68</v>
      </c>
      <c r="M24" s="10">
        <v>231</v>
      </c>
      <c r="N24" s="10">
        <v>377</v>
      </c>
      <c r="O24" s="11">
        <f>IFERROR((N24-M24)*K24,0)</f>
      </c>
      <c r="P24" s="10">
        <v>154</v>
      </c>
      <c r="Q24" s="10">
        <v>239</v>
      </c>
      <c r="R24" s="10">
        <v>369</v>
      </c>
      <c r="S24" s="8">
        <f>IFERROR((P24/Q24)*R24,0)</f>
      </c>
      <c r="T24" s="8">
        <f>IFERROR((S24-P24)*((F24-G24)*0.8),0)</f>
      </c>
      <c r="U24" s="12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421</v>
      </c>
      <c r="D25" s="15" t="s">
        <v>340</v>
      </c>
      <c r="E25" s="15" t="s">
        <v>242</v>
      </c>
      <c r="F25" s="15">
        <v>0.287</v>
      </c>
      <c r="G25" s="15">
        <v>0.247</v>
      </c>
      <c r="H25" s="15" t="s">
        <v>37</v>
      </c>
      <c r="I25" s="15" t="s">
        <v>71</v>
      </c>
      <c r="J25" s="15" t="s">
        <v>476</v>
      </c>
      <c r="K25" s="16">
        <f>F25*1.06</f>
      </c>
      <c r="L25" s="17">
        <v>152.53</v>
      </c>
      <c r="M25" s="18">
        <v>231</v>
      </c>
      <c r="N25" s="18">
        <v>377</v>
      </c>
      <c r="O25" s="19">
        <f>IFERROR((N25-M25)*K25,0)</f>
      </c>
      <c r="P25" s="18">
        <v>154</v>
      </c>
      <c r="Q25" s="18">
        <v>239</v>
      </c>
      <c r="R25" s="18">
        <v>369</v>
      </c>
      <c r="S25" s="16">
        <f>IFERROR((P25/Q25)*R25,0)</f>
      </c>
      <c r="T25" s="16">
        <f>IFERROR((S25-P25)*((F25-G25)*0.8),0)</f>
      </c>
      <c r="U25" s="20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421</v>
      </c>
      <c r="D26" s="7" t="s">
        <v>327</v>
      </c>
      <c r="E26" s="7" t="s">
        <v>477</v>
      </c>
      <c r="F26" s="7">
        <v>0.435</v>
      </c>
      <c r="G26" s="7">
        <v>0.375</v>
      </c>
      <c r="H26" s="7" t="s">
        <v>37</v>
      </c>
      <c r="I26" s="7" t="s">
        <v>71</v>
      </c>
      <c r="J26" s="7" t="s">
        <v>478</v>
      </c>
      <c r="K26" s="8">
        <f>F26*1.06</f>
      </c>
      <c r="L26" s="9">
        <v>217.35</v>
      </c>
      <c r="M26" s="10">
        <v>231</v>
      </c>
      <c r="N26" s="10">
        <v>377</v>
      </c>
      <c r="O26" s="11">
        <f>IFERROR((N26-M26)*K26,0)</f>
      </c>
      <c r="P26" s="10">
        <v>154</v>
      </c>
      <c r="Q26" s="10">
        <v>239</v>
      </c>
      <c r="R26" s="10">
        <v>369</v>
      </c>
      <c r="S26" s="8">
        <f>IFERROR((P26/Q26)*R26,0)</f>
      </c>
      <c r="T26" s="8">
        <f>IFERROR((S26-P26)*((F26-G26)*0.8),0)</f>
      </c>
      <c r="U26" s="12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421</v>
      </c>
      <c r="D27" s="15" t="s">
        <v>316</v>
      </c>
      <c r="E27" s="15" t="s">
        <v>477</v>
      </c>
      <c r="F27" s="15">
        <v>0.435</v>
      </c>
      <c r="G27" s="15">
        <v>0.377</v>
      </c>
      <c r="H27" s="15" t="s">
        <v>37</v>
      </c>
      <c r="I27" s="15" t="s">
        <v>71</v>
      </c>
      <c r="J27" s="15" t="s">
        <v>479</v>
      </c>
      <c r="K27" s="16">
        <f>F27*1.06</f>
      </c>
      <c r="L27" s="17">
        <v>217.35</v>
      </c>
      <c r="M27" s="18">
        <v>231</v>
      </c>
      <c r="N27" s="18">
        <v>377</v>
      </c>
      <c r="O27" s="19">
        <f>IFERROR((N27-M27)*K27,0)</f>
      </c>
      <c r="P27" s="18">
        <v>154</v>
      </c>
      <c r="Q27" s="18">
        <v>239</v>
      </c>
      <c r="R27" s="18">
        <v>369</v>
      </c>
      <c r="S27" s="16">
        <f>IFERROR((P27/Q27)*R27,0)</f>
      </c>
      <c r="T27" s="16">
        <f>IFERROR((S27-P27)*((F27-G27)*0.8),0)</f>
      </c>
      <c r="U27" s="20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421</v>
      </c>
      <c r="D28" s="7" t="s">
        <v>480</v>
      </c>
      <c r="E28" s="7" t="s">
        <v>294</v>
      </c>
      <c r="F28" s="7">
        <v>0.518</v>
      </c>
      <c r="G28" s="7">
        <v>0.518</v>
      </c>
      <c r="H28" s="7" t="s">
        <v>37</v>
      </c>
      <c r="I28" s="7" t="s">
        <v>71</v>
      </c>
      <c r="J28" s="7" t="s">
        <v>481</v>
      </c>
      <c r="K28" s="8">
        <f>F28*1.06</f>
      </c>
      <c r="L28" s="9">
        <v>262.87</v>
      </c>
      <c r="M28" s="10">
        <v>231</v>
      </c>
      <c r="N28" s="10">
        <v>377</v>
      </c>
      <c r="O28" s="11">
        <f>IFERROR((N28-M28)*K28,0)</f>
      </c>
      <c r="P28" s="23" t="s">
        <v>85</v>
      </c>
      <c r="Q28" s="23" t="s">
        <v>85</v>
      </c>
      <c r="R28" s="23" t="s">
        <v>85</v>
      </c>
      <c r="S28" s="23" t="s">
        <v>85</v>
      </c>
      <c r="T28" s="8">
        <v>0</v>
      </c>
      <c r="U28" s="12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421</v>
      </c>
      <c r="D29" s="15" t="s">
        <v>482</v>
      </c>
      <c r="E29" s="15" t="s">
        <v>82</v>
      </c>
      <c r="F29" s="15">
        <v>0.518</v>
      </c>
      <c r="G29" s="15">
        <v>0.458</v>
      </c>
      <c r="H29" s="15" t="s">
        <v>37</v>
      </c>
      <c r="I29" s="15" t="s">
        <v>71</v>
      </c>
      <c r="J29" s="15" t="s">
        <v>483</v>
      </c>
      <c r="K29" s="16">
        <f>F29*1.06</f>
      </c>
      <c r="L29" s="17">
        <v>262.17</v>
      </c>
      <c r="M29" s="18">
        <v>231</v>
      </c>
      <c r="N29" s="18">
        <v>377</v>
      </c>
      <c r="O29" s="19">
        <f>IFERROR((N29-M29)*K29,0)</f>
      </c>
      <c r="P29" s="18">
        <v>154</v>
      </c>
      <c r="Q29" s="18">
        <v>239</v>
      </c>
      <c r="R29" s="18">
        <v>369</v>
      </c>
      <c r="S29" s="16">
        <f>IFERROR((P29/Q29)*R29,0)</f>
      </c>
      <c r="T29" s="16">
        <f>IFERROR((S29-P29)*((F29-G29)*0.8),0)</f>
      </c>
      <c r="U29" s="20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421</v>
      </c>
      <c r="D30" s="7" t="s">
        <v>131</v>
      </c>
      <c r="E30" s="7" t="s">
        <v>484</v>
      </c>
      <c r="F30" s="7">
        <v>1.22</v>
      </c>
      <c r="G30" s="7">
        <v>1.182</v>
      </c>
      <c r="H30" s="7" t="s">
        <v>37</v>
      </c>
      <c r="I30" s="7" t="s">
        <v>38</v>
      </c>
      <c r="J30" s="7" t="s">
        <v>485</v>
      </c>
      <c r="K30" s="8">
        <f>F30*1.06</f>
      </c>
      <c r="L30" s="9">
        <v>469.05</v>
      </c>
      <c r="M30" s="10">
        <v>239</v>
      </c>
      <c r="N30" s="10">
        <v>369</v>
      </c>
      <c r="O30" s="11">
        <f>IFERROR((N30-M30)*K30,0)</f>
      </c>
      <c r="P30" s="10">
        <v>154</v>
      </c>
      <c r="Q30" s="10">
        <v>239</v>
      </c>
      <c r="R30" s="10">
        <v>369</v>
      </c>
      <c r="S30" s="8">
        <f>IFERROR((P30/Q30)*R30,0)</f>
      </c>
      <c r="T30" s="8">
        <f>IFERROR((S30-P30)*((F30-G30)*0.8),0)</f>
      </c>
      <c r="U30" s="12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421</v>
      </c>
      <c r="D31" s="15" t="s">
        <v>486</v>
      </c>
      <c r="E31" s="15" t="s">
        <v>82</v>
      </c>
      <c r="F31" s="15">
        <v>0.412</v>
      </c>
      <c r="G31" s="15">
        <v>0.39</v>
      </c>
      <c r="H31" s="15" t="s">
        <v>37</v>
      </c>
      <c r="I31" s="15" t="s">
        <v>38</v>
      </c>
      <c r="J31" s="15" t="s">
        <v>487</v>
      </c>
      <c r="K31" s="16">
        <f>F31*1.06</f>
      </c>
      <c r="L31" s="17">
        <v>217.1</v>
      </c>
      <c r="M31" s="18">
        <v>239</v>
      </c>
      <c r="N31" s="18">
        <v>369</v>
      </c>
      <c r="O31" s="19">
        <f>IFERROR((N31-M31)*K31,0)</f>
      </c>
      <c r="P31" s="18">
        <v>154</v>
      </c>
      <c r="Q31" s="18">
        <v>239</v>
      </c>
      <c r="R31" s="18">
        <v>369</v>
      </c>
      <c r="S31" s="16">
        <f>IFERROR((P31/Q31)*R31,0)</f>
      </c>
      <c r="T31" s="16">
        <f>IFERROR((S31-P31)*((F31-G31)*0.8),0)</f>
      </c>
      <c r="U31" s="20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421</v>
      </c>
      <c r="D32" s="7" t="s">
        <v>488</v>
      </c>
      <c r="E32" s="7" t="s">
        <v>82</v>
      </c>
      <c r="F32" s="7">
        <v>0.382</v>
      </c>
      <c r="G32" s="7">
        <v>0.382</v>
      </c>
      <c r="H32" s="7" t="s">
        <v>37</v>
      </c>
      <c r="I32" s="7" t="s">
        <v>38</v>
      </c>
      <c r="J32" s="7" t="s">
        <v>489</v>
      </c>
      <c r="K32" s="8">
        <f>F32*1.06</f>
      </c>
      <c r="L32" s="9">
        <v>250.22</v>
      </c>
      <c r="M32" s="10">
        <v>239</v>
      </c>
      <c r="N32" s="10">
        <v>369</v>
      </c>
      <c r="O32" s="11">
        <f>IFERROR((N32-M32)*K32,0)</f>
      </c>
      <c r="P32" s="23" t="s">
        <v>85</v>
      </c>
      <c r="Q32" s="23" t="s">
        <v>85</v>
      </c>
      <c r="R32" s="23" t="s">
        <v>85</v>
      </c>
      <c r="S32" s="23" t="s">
        <v>85</v>
      </c>
      <c r="T32" s="8">
        <v>0</v>
      </c>
      <c r="U32" s="12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421</v>
      </c>
      <c r="D33" s="15" t="s">
        <v>490</v>
      </c>
      <c r="E33" s="15" t="s">
        <v>82</v>
      </c>
      <c r="F33" s="15">
        <v>0.378</v>
      </c>
      <c r="G33" s="15">
        <v>0.378</v>
      </c>
      <c r="H33" s="15" t="s">
        <v>37</v>
      </c>
      <c r="I33" s="15" t="s">
        <v>38</v>
      </c>
      <c r="J33" s="15" t="s">
        <v>491</v>
      </c>
      <c r="K33" s="16">
        <f>F33*1.06</f>
      </c>
      <c r="L33" s="17">
        <v>253.95</v>
      </c>
      <c r="M33" s="18">
        <v>239</v>
      </c>
      <c r="N33" s="18">
        <v>369</v>
      </c>
      <c r="O33" s="19">
        <f>IFERROR((N33-M33)*K33,0)</f>
      </c>
      <c r="P33" s="24" t="s">
        <v>85</v>
      </c>
      <c r="Q33" s="24" t="s">
        <v>85</v>
      </c>
      <c r="R33" s="24" t="s">
        <v>85</v>
      </c>
      <c r="S33" s="24" t="s">
        <v>85</v>
      </c>
      <c r="T33" s="16">
        <v>0</v>
      </c>
      <c r="U33" s="20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421</v>
      </c>
      <c r="D34" s="7" t="s">
        <v>492</v>
      </c>
      <c r="E34" s="7" t="s">
        <v>484</v>
      </c>
      <c r="F34" s="7">
        <v>0.379</v>
      </c>
      <c r="G34" s="7">
        <v>0.379</v>
      </c>
      <c r="H34" s="7" t="s">
        <v>54</v>
      </c>
      <c r="I34" s="7" t="s">
        <v>71</v>
      </c>
      <c r="J34" s="7" t="s">
        <v>493</v>
      </c>
      <c r="K34" s="8">
        <f>F34*1.06</f>
      </c>
      <c r="L34" s="9">
        <v>213.73</v>
      </c>
      <c r="M34" s="10">
        <v>231</v>
      </c>
      <c r="N34" s="10">
        <v>377</v>
      </c>
      <c r="O34" s="11">
        <f>IFERROR((N34-M34)*K34,0)</f>
      </c>
      <c r="P34" s="23" t="s">
        <v>85</v>
      </c>
      <c r="Q34" s="23" t="s">
        <v>85</v>
      </c>
      <c r="R34" s="23" t="s">
        <v>85</v>
      </c>
      <c r="S34" s="23" t="s">
        <v>85</v>
      </c>
      <c r="T34" s="8">
        <v>0</v>
      </c>
      <c r="U34" s="12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421</v>
      </c>
      <c r="D35" s="15" t="s">
        <v>494</v>
      </c>
      <c r="E35" s="15" t="s">
        <v>79</v>
      </c>
      <c r="F35" s="15">
        <v>0.251</v>
      </c>
      <c r="G35" s="15">
        <v>0.212</v>
      </c>
      <c r="H35" s="15" t="s">
        <v>60</v>
      </c>
      <c r="I35" s="15" t="s">
        <v>38</v>
      </c>
      <c r="J35" s="15" t="s">
        <v>495</v>
      </c>
      <c r="K35" s="16">
        <f>F35*1.06</f>
      </c>
      <c r="L35" s="17">
        <v>145.49</v>
      </c>
      <c r="M35" s="18">
        <v>239</v>
      </c>
      <c r="N35" s="18">
        <v>369</v>
      </c>
      <c r="O35" s="19">
        <f>IFERROR((N35-M35)*K35,0)</f>
      </c>
      <c r="P35" s="18">
        <v>154</v>
      </c>
      <c r="Q35" s="18">
        <v>239</v>
      </c>
      <c r="R35" s="18">
        <v>369</v>
      </c>
      <c r="S35" s="16">
        <f>IFERROR((P35/Q35)*R35,0)</f>
      </c>
      <c r="T35" s="16">
        <f>IFERROR((S35-P35)*((F35-G35)*0.8),0)</f>
      </c>
      <c r="U35" s="20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421</v>
      </c>
      <c r="D36" s="7" t="s">
        <v>131</v>
      </c>
      <c r="E36" s="7" t="s">
        <v>484</v>
      </c>
      <c r="F36" s="7">
        <v>1.22</v>
      </c>
      <c r="G36" s="7">
        <v>1.182</v>
      </c>
      <c r="H36" s="7" t="s">
        <v>60</v>
      </c>
      <c r="I36" s="7" t="s">
        <v>38</v>
      </c>
      <c r="J36" s="7" t="s">
        <v>496</v>
      </c>
      <c r="K36" s="8">
        <f>F36*1.06</f>
      </c>
      <c r="L36" s="9">
        <v>465.53</v>
      </c>
      <c r="M36" s="10">
        <v>239</v>
      </c>
      <c r="N36" s="10">
        <v>369</v>
      </c>
      <c r="O36" s="11">
        <f>IFERROR((N36-M36)*K36,0)</f>
      </c>
      <c r="P36" s="10">
        <v>154</v>
      </c>
      <c r="Q36" s="10">
        <v>239</v>
      </c>
      <c r="R36" s="10">
        <v>369</v>
      </c>
      <c r="S36" s="8">
        <f>IFERROR((P36/Q36)*R36,0)</f>
      </c>
      <c r="T36" s="8">
        <f>IFERROR((S36-P36)*((F36-G36)*0.8),0)</f>
      </c>
      <c r="U36" s="12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421</v>
      </c>
      <c r="D37" s="15" t="s">
        <v>425</v>
      </c>
      <c r="E37" s="15" t="s">
        <v>497</v>
      </c>
      <c r="F37" s="15">
        <v>0.047</v>
      </c>
      <c r="G37" s="15">
        <v>0.042</v>
      </c>
      <c r="H37" s="15" t="s">
        <v>60</v>
      </c>
      <c r="I37" s="15" t="s">
        <v>38</v>
      </c>
      <c r="J37" s="15" t="s">
        <v>498</v>
      </c>
      <c r="K37" s="16">
        <f>F37*1.06</f>
      </c>
      <c r="L37" s="17">
        <v>32</v>
      </c>
      <c r="M37" s="18">
        <v>239</v>
      </c>
      <c r="N37" s="18">
        <v>369</v>
      </c>
      <c r="O37" s="19">
        <f>IFERROR((N37-M37)*K37,0)</f>
      </c>
      <c r="P37" s="18">
        <v>154</v>
      </c>
      <c r="Q37" s="18">
        <v>239</v>
      </c>
      <c r="R37" s="18">
        <v>369</v>
      </c>
      <c r="S37" s="16">
        <f>IFERROR((P37/Q37)*R37,0)</f>
      </c>
      <c r="T37" s="16">
        <f>IFERROR((S37-P37)*((F37-G37)*0.8),0)</f>
      </c>
      <c r="U37" s="20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421</v>
      </c>
      <c r="D38" s="7" t="s">
        <v>455</v>
      </c>
      <c r="E38" s="7" t="s">
        <v>456</v>
      </c>
      <c r="F38" s="7">
        <v>0.528</v>
      </c>
      <c r="G38" s="7">
        <v>0.465</v>
      </c>
      <c r="H38" s="7" t="s">
        <v>70</v>
      </c>
      <c r="I38" s="7" t="s">
        <v>71</v>
      </c>
      <c r="J38" s="7" t="s">
        <v>499</v>
      </c>
      <c r="K38" s="8">
        <f>F38*1.06</f>
      </c>
      <c r="L38" s="9">
        <v>257.26</v>
      </c>
      <c r="M38" s="10">
        <v>231</v>
      </c>
      <c r="N38" s="10">
        <v>377</v>
      </c>
      <c r="O38" s="11">
        <f>IFERROR((N38-M38)*K38,0)</f>
      </c>
      <c r="P38" s="10">
        <v>154</v>
      </c>
      <c r="Q38" s="10">
        <v>239</v>
      </c>
      <c r="R38" s="10">
        <v>369</v>
      </c>
      <c r="S38" s="8">
        <f>IFERROR((P38/Q38)*R38,0)</f>
      </c>
      <c r="T38" s="8">
        <f>IFERROR((S38-P38)*((F38-G38)*0.8),0)</f>
      </c>
      <c r="U38" s="12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421</v>
      </c>
      <c r="D39" s="15" t="s">
        <v>450</v>
      </c>
      <c r="E39" s="15" t="s">
        <v>451</v>
      </c>
      <c r="F39" s="15">
        <v>0.528</v>
      </c>
      <c r="G39" s="15">
        <v>0.465</v>
      </c>
      <c r="H39" s="15" t="s">
        <v>70</v>
      </c>
      <c r="I39" s="15" t="s">
        <v>71</v>
      </c>
      <c r="J39" s="15" t="s">
        <v>500</v>
      </c>
      <c r="K39" s="16">
        <f>F39*1.06</f>
      </c>
      <c r="L39" s="17">
        <v>257.26</v>
      </c>
      <c r="M39" s="18">
        <v>231</v>
      </c>
      <c r="N39" s="18">
        <v>377</v>
      </c>
      <c r="O39" s="19">
        <f>IFERROR((N39-M39)*K39,0)</f>
      </c>
      <c r="P39" s="18">
        <v>154</v>
      </c>
      <c r="Q39" s="18">
        <v>239</v>
      </c>
      <c r="R39" s="18">
        <v>369</v>
      </c>
      <c r="S39" s="16">
        <f>IFERROR((P39/Q39)*R39,0)</f>
      </c>
      <c r="T39" s="16">
        <f>IFERROR((S39-P39)*((F39-G39)*0.8),0)</f>
      </c>
      <c r="U39" s="20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421</v>
      </c>
      <c r="D40" s="7" t="s">
        <v>425</v>
      </c>
      <c r="E40" s="7" t="s">
        <v>426</v>
      </c>
      <c r="F40" s="7">
        <v>0.047</v>
      </c>
      <c r="G40" s="7">
        <v>0.042</v>
      </c>
      <c r="H40" s="7" t="s">
        <v>70</v>
      </c>
      <c r="I40" s="7" t="s">
        <v>38</v>
      </c>
      <c r="J40" s="7" t="s">
        <v>501</v>
      </c>
      <c r="K40" s="8">
        <f>F40*1.06</f>
      </c>
      <c r="L40" s="9">
        <v>31.59</v>
      </c>
      <c r="M40" s="10">
        <v>239</v>
      </c>
      <c r="N40" s="10">
        <v>369</v>
      </c>
      <c r="O40" s="11">
        <f>IFERROR((N40-M40)*K40,0)</f>
      </c>
      <c r="P40" s="10">
        <v>154</v>
      </c>
      <c r="Q40" s="10">
        <v>239</v>
      </c>
      <c r="R40" s="10">
        <v>369</v>
      </c>
      <c r="S40" s="8">
        <f>IFERROR((P40/Q40)*R40,0)</f>
      </c>
      <c r="T40" s="8">
        <f>IFERROR((S40-P40)*((F40-G40)*0.8),0)</f>
      </c>
      <c r="U40" s="12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421</v>
      </c>
      <c r="D41" s="15" t="s">
        <v>428</v>
      </c>
      <c r="E41" s="15" t="s">
        <v>429</v>
      </c>
      <c r="F41" s="15">
        <v>0.535</v>
      </c>
      <c r="G41" s="15">
        <v>0.468</v>
      </c>
      <c r="H41" s="15" t="s">
        <v>70</v>
      </c>
      <c r="I41" s="15" t="s">
        <v>71</v>
      </c>
      <c r="J41" s="15" t="s">
        <v>502</v>
      </c>
      <c r="K41" s="16">
        <f>F41*1.06</f>
      </c>
      <c r="L41" s="17">
        <v>262.73</v>
      </c>
      <c r="M41" s="18">
        <v>231</v>
      </c>
      <c r="N41" s="18">
        <v>377</v>
      </c>
      <c r="O41" s="19">
        <f>IFERROR((N41-M41)*K41,0)</f>
      </c>
      <c r="P41" s="18">
        <v>154</v>
      </c>
      <c r="Q41" s="18">
        <v>239</v>
      </c>
      <c r="R41" s="18">
        <v>369</v>
      </c>
      <c r="S41" s="16">
        <f>IFERROR((P41/Q41)*R41,0)</f>
      </c>
      <c r="T41" s="16">
        <f>IFERROR((S41-P41)*((F41-G41)*0.8),0)</f>
      </c>
      <c r="U41" s="20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421</v>
      </c>
      <c r="D42" s="7" t="s">
        <v>438</v>
      </c>
      <c r="E42" s="7" t="s">
        <v>439</v>
      </c>
      <c r="F42" s="7">
        <v>0.133</v>
      </c>
      <c r="G42" s="7">
        <v>0.119</v>
      </c>
      <c r="H42" s="7" t="s">
        <v>70</v>
      </c>
      <c r="I42" s="7" t="s">
        <v>38</v>
      </c>
      <c r="J42" s="7" t="s">
        <v>503</v>
      </c>
      <c r="K42" s="8">
        <f>F42*1.06</f>
      </c>
      <c r="L42" s="9">
        <v>75.36</v>
      </c>
      <c r="M42" s="10">
        <v>239</v>
      </c>
      <c r="N42" s="10">
        <v>369</v>
      </c>
      <c r="O42" s="11">
        <f>IFERROR((N42-M42)*K42,0)</f>
      </c>
      <c r="P42" s="10">
        <v>154</v>
      </c>
      <c r="Q42" s="10">
        <v>239</v>
      </c>
      <c r="R42" s="10">
        <v>369</v>
      </c>
      <c r="S42" s="8">
        <f>IFERROR((P42/Q42)*R42,0)</f>
      </c>
      <c r="T42" s="8">
        <f>IFERROR((S42-P42)*((F42-G42)*0.8),0)</f>
      </c>
      <c r="U42" s="12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421</v>
      </c>
      <c r="D43" s="15" t="s">
        <v>470</v>
      </c>
      <c r="E43" s="15" t="s">
        <v>471</v>
      </c>
      <c r="F43" s="15">
        <v>0.313</v>
      </c>
      <c r="G43" s="15">
        <v>0.313</v>
      </c>
      <c r="H43" s="15" t="s">
        <v>70</v>
      </c>
      <c r="I43" s="15" t="s">
        <v>38</v>
      </c>
      <c r="J43" s="15" t="s">
        <v>504</v>
      </c>
      <c r="K43" s="16">
        <f>F43*1.06</f>
      </c>
      <c r="L43" s="17">
        <v>147.1</v>
      </c>
      <c r="M43" s="18">
        <v>239</v>
      </c>
      <c r="N43" s="18">
        <v>369</v>
      </c>
      <c r="O43" s="19">
        <f>IFERROR((N43-M43)*K43,0)</f>
      </c>
      <c r="P43" s="24" t="s">
        <v>85</v>
      </c>
      <c r="Q43" s="24" t="s">
        <v>85</v>
      </c>
      <c r="R43" s="24" t="s">
        <v>85</v>
      </c>
      <c r="S43" s="24" t="s">
        <v>85</v>
      </c>
      <c r="T43" s="16">
        <v>0</v>
      </c>
      <c r="U43" s="20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421</v>
      </c>
      <c r="D44" s="7" t="s">
        <v>447</v>
      </c>
      <c r="E44" s="7" t="s">
        <v>448</v>
      </c>
      <c r="F44" s="7">
        <v>0.213</v>
      </c>
      <c r="G44" s="7">
        <v>0.198</v>
      </c>
      <c r="H44" s="7" t="s">
        <v>70</v>
      </c>
      <c r="I44" s="7" t="s">
        <v>71</v>
      </c>
      <c r="J44" s="7" t="s">
        <v>505</v>
      </c>
      <c r="K44" s="8">
        <f>F44*1.06</f>
      </c>
      <c r="L44" s="9">
        <v>108.18</v>
      </c>
      <c r="M44" s="10">
        <v>231</v>
      </c>
      <c r="N44" s="10">
        <v>377</v>
      </c>
      <c r="O44" s="11">
        <f>IFERROR((N44-M44)*K44,0)</f>
      </c>
      <c r="P44" s="10">
        <v>154</v>
      </c>
      <c r="Q44" s="10">
        <v>239</v>
      </c>
      <c r="R44" s="10">
        <v>369</v>
      </c>
      <c r="S44" s="8">
        <f>IFERROR((P44/Q44)*R44,0)</f>
      </c>
      <c r="T44" s="8">
        <f>IFERROR((S44-P44)*((F44-G44)*0.8),0)</f>
      </c>
      <c r="U44" s="12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421</v>
      </c>
      <c r="D45" s="15" t="s">
        <v>441</v>
      </c>
      <c r="E45" s="15" t="s">
        <v>442</v>
      </c>
      <c r="F45" s="15">
        <v>0.17</v>
      </c>
      <c r="G45" s="15">
        <v>0.15</v>
      </c>
      <c r="H45" s="15" t="s">
        <v>70</v>
      </c>
      <c r="I45" s="15" t="s">
        <v>38</v>
      </c>
      <c r="J45" s="15" t="s">
        <v>506</v>
      </c>
      <c r="K45" s="16">
        <f>F45*1.06</f>
      </c>
      <c r="L45" s="17">
        <v>87.28</v>
      </c>
      <c r="M45" s="18">
        <v>239</v>
      </c>
      <c r="N45" s="18">
        <v>369</v>
      </c>
      <c r="O45" s="19">
        <f>IFERROR((N45-M45)*K45,0)</f>
      </c>
      <c r="P45" s="18">
        <v>154</v>
      </c>
      <c r="Q45" s="18">
        <v>239</v>
      </c>
      <c r="R45" s="18">
        <v>369</v>
      </c>
      <c r="S45" s="16">
        <f>IFERROR((P45/Q45)*R45,0)</f>
      </c>
      <c r="T45" s="16">
        <f>IFERROR((S45-P45)*((F45-G45)*0.8),0)</f>
      </c>
      <c r="U45" s="20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421</v>
      </c>
      <c r="D46" s="7" t="s">
        <v>507</v>
      </c>
      <c r="E46" s="7" t="s">
        <v>508</v>
      </c>
      <c r="F46" s="7">
        <v>1.022</v>
      </c>
      <c r="G46" s="7">
        <v>1.022</v>
      </c>
      <c r="H46" s="7" t="s">
        <v>70</v>
      </c>
      <c r="I46" s="7" t="s">
        <v>38</v>
      </c>
      <c r="J46" s="7" t="s">
        <v>509</v>
      </c>
      <c r="K46" s="8">
        <f>F46*1.06</f>
      </c>
      <c r="L46" s="9">
        <v>394.38</v>
      </c>
      <c r="M46" s="10">
        <v>239</v>
      </c>
      <c r="N46" s="10">
        <v>369</v>
      </c>
      <c r="O46" s="11">
        <f>IFERROR((N46-M46)*K46,0)</f>
      </c>
      <c r="P46" s="23" t="s">
        <v>85</v>
      </c>
      <c r="Q46" s="23" t="s">
        <v>85</v>
      </c>
      <c r="R46" s="23" t="s">
        <v>85</v>
      </c>
      <c r="S46" s="23" t="s">
        <v>85</v>
      </c>
      <c r="T46" s="8">
        <v>0</v>
      </c>
      <c r="U46" s="12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421</v>
      </c>
      <c r="D47" s="15" t="s">
        <v>241</v>
      </c>
      <c r="E47" s="15" t="s">
        <v>242</v>
      </c>
      <c r="F47" s="15">
        <v>0.3</v>
      </c>
      <c r="G47" s="15">
        <v>0.24</v>
      </c>
      <c r="H47" s="15" t="s">
        <v>70</v>
      </c>
      <c r="I47" s="15" t="s">
        <v>71</v>
      </c>
      <c r="J47" s="15" t="s">
        <v>510</v>
      </c>
      <c r="K47" s="16">
        <f>F47*1.06</f>
      </c>
      <c r="L47" s="17">
        <v>152.04</v>
      </c>
      <c r="M47" s="18">
        <v>231</v>
      </c>
      <c r="N47" s="18">
        <v>377</v>
      </c>
      <c r="O47" s="19">
        <f>IFERROR((N47-M47)*K47,0)</f>
      </c>
      <c r="P47" s="18">
        <v>154</v>
      </c>
      <c r="Q47" s="18">
        <v>239</v>
      </c>
      <c r="R47" s="18">
        <v>369</v>
      </c>
      <c r="S47" s="16">
        <f>IFERROR((P47/Q47)*R47,0)</f>
      </c>
      <c r="T47" s="16">
        <f>IFERROR((S47-P47)*((F47-G47)*0.8),0)</f>
      </c>
      <c r="U47" s="20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421</v>
      </c>
      <c r="D48" s="7" t="s">
        <v>244</v>
      </c>
      <c r="E48" s="7" t="s">
        <v>242</v>
      </c>
      <c r="F48" s="7">
        <v>0.304</v>
      </c>
      <c r="G48" s="7">
        <v>0.264</v>
      </c>
      <c r="H48" s="7" t="s">
        <v>70</v>
      </c>
      <c r="I48" s="7" t="s">
        <v>71</v>
      </c>
      <c r="J48" s="7" t="s">
        <v>511</v>
      </c>
      <c r="K48" s="8">
        <f>F48*1.06</f>
      </c>
      <c r="L48" s="9">
        <v>151.56</v>
      </c>
      <c r="M48" s="10">
        <v>231</v>
      </c>
      <c r="N48" s="10">
        <v>377</v>
      </c>
      <c r="O48" s="11">
        <f>IFERROR((N48-M48)*K48,0)</f>
      </c>
      <c r="P48" s="10">
        <v>154</v>
      </c>
      <c r="Q48" s="10">
        <v>239</v>
      </c>
      <c r="R48" s="10">
        <v>369</v>
      </c>
      <c r="S48" s="8">
        <f>IFERROR((P48/Q48)*R48,0)</f>
      </c>
      <c r="T48" s="8">
        <f>IFERROR((S48-P48)*((F48-G48)*0.8),0)</f>
      </c>
      <c r="U48" s="12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421</v>
      </c>
      <c r="D49" s="15" t="s">
        <v>512</v>
      </c>
      <c r="E49" s="15" t="s">
        <v>513</v>
      </c>
      <c r="F49" s="15">
        <v>0.111</v>
      </c>
      <c r="G49" s="15">
        <v>0.111</v>
      </c>
      <c r="H49" s="15" t="s">
        <v>70</v>
      </c>
      <c r="I49" s="15" t="s">
        <v>38</v>
      </c>
      <c r="J49" s="15" t="s">
        <v>514</v>
      </c>
      <c r="K49" s="16">
        <f>F49*1.06</f>
      </c>
      <c r="L49" s="17">
        <v>57.41</v>
      </c>
      <c r="M49" s="18">
        <v>239</v>
      </c>
      <c r="N49" s="18">
        <v>369</v>
      </c>
      <c r="O49" s="19">
        <f>IFERROR((N49-M49)*K49,0)</f>
      </c>
      <c r="P49" s="24" t="s">
        <v>85</v>
      </c>
      <c r="Q49" s="24" t="s">
        <v>85</v>
      </c>
      <c r="R49" s="24" t="s">
        <v>85</v>
      </c>
      <c r="S49" s="24" t="s">
        <v>85</v>
      </c>
      <c r="T49" s="16">
        <v>0</v>
      </c>
      <c r="U49" s="20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421</v>
      </c>
      <c r="D50" s="7" t="s">
        <v>444</v>
      </c>
      <c r="E50" s="7" t="s">
        <v>445</v>
      </c>
      <c r="F50" s="7">
        <v>0.145</v>
      </c>
      <c r="G50" s="7">
        <v>0.145</v>
      </c>
      <c r="H50" s="7" t="s">
        <v>70</v>
      </c>
      <c r="I50" s="7" t="s">
        <v>71</v>
      </c>
      <c r="J50" s="7" t="s">
        <v>515</v>
      </c>
      <c r="K50" s="8">
        <f>F50*1.06</f>
      </c>
      <c r="L50" s="9">
        <v>69.2</v>
      </c>
      <c r="M50" s="10">
        <v>231</v>
      </c>
      <c r="N50" s="10">
        <v>377</v>
      </c>
      <c r="O50" s="11">
        <f>IFERROR((N50-M50)*K50,0)</f>
      </c>
      <c r="P50" s="23" t="s">
        <v>85</v>
      </c>
      <c r="Q50" s="23" t="s">
        <v>85</v>
      </c>
      <c r="R50" s="23" t="s">
        <v>85</v>
      </c>
      <c r="S50" s="23" t="s">
        <v>85</v>
      </c>
      <c r="T50" s="8">
        <v>0</v>
      </c>
      <c r="U50" s="12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421</v>
      </c>
      <c r="D51" s="15" t="s">
        <v>516</v>
      </c>
      <c r="E51" s="15" t="s">
        <v>474</v>
      </c>
      <c r="F51" s="15">
        <v>0.178</v>
      </c>
      <c r="G51" s="15">
        <v>0.159</v>
      </c>
      <c r="H51" s="15" t="s">
        <v>70</v>
      </c>
      <c r="I51" s="15" t="s">
        <v>71</v>
      </c>
      <c r="J51" s="15" t="s">
        <v>517</v>
      </c>
      <c r="K51" s="16">
        <f>F51*1.06</f>
      </c>
      <c r="L51" s="17">
        <v>102</v>
      </c>
      <c r="M51" s="18">
        <v>231</v>
      </c>
      <c r="N51" s="18">
        <v>377</v>
      </c>
      <c r="O51" s="19">
        <f>IFERROR((N51-M51)*K51,0)</f>
      </c>
      <c r="P51" s="18">
        <v>154</v>
      </c>
      <c r="Q51" s="18">
        <v>239</v>
      </c>
      <c r="R51" s="18">
        <v>369</v>
      </c>
      <c r="S51" s="16">
        <f>IFERROR((P51/Q51)*R51,0)</f>
      </c>
      <c r="T51" s="16">
        <f>IFERROR((S51-P51)*((F51-G51)*0.8),0)</f>
      </c>
      <c r="U51" s="20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421</v>
      </c>
      <c r="D52" s="7" t="s">
        <v>518</v>
      </c>
      <c r="E52" s="7" t="s">
        <v>519</v>
      </c>
      <c r="F52" s="7">
        <v>0.111</v>
      </c>
      <c r="G52" s="7">
        <v>0.111</v>
      </c>
      <c r="H52" s="7" t="s">
        <v>70</v>
      </c>
      <c r="I52" s="7" t="s">
        <v>71</v>
      </c>
      <c r="J52" s="7" t="s">
        <v>520</v>
      </c>
      <c r="K52" s="8">
        <f>F52*1.06</f>
      </c>
      <c r="L52" s="9">
        <v>56.98</v>
      </c>
      <c r="M52" s="10">
        <v>231</v>
      </c>
      <c r="N52" s="10">
        <v>377</v>
      </c>
      <c r="O52" s="11">
        <f>IFERROR((N52-M52)*K52,0)</f>
      </c>
      <c r="P52" s="23" t="s">
        <v>85</v>
      </c>
      <c r="Q52" s="23" t="s">
        <v>85</v>
      </c>
      <c r="R52" s="23" t="s">
        <v>85</v>
      </c>
      <c r="S52" s="23" t="s">
        <v>85</v>
      </c>
      <c r="T52" s="8">
        <v>0</v>
      </c>
      <c r="U52" s="12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421</v>
      </c>
      <c r="D53" s="15" t="s">
        <v>521</v>
      </c>
      <c r="E53" s="15" t="s">
        <v>522</v>
      </c>
      <c r="F53" s="15">
        <v>0.31</v>
      </c>
      <c r="G53" s="15">
        <v>0.308</v>
      </c>
      <c r="H53" s="15" t="s">
        <v>70</v>
      </c>
      <c r="I53" s="15" t="s">
        <v>38</v>
      </c>
      <c r="J53" s="15" t="s">
        <v>523</v>
      </c>
      <c r="K53" s="16">
        <f>F53*1.06</f>
      </c>
      <c r="L53" s="17">
        <v>130.67</v>
      </c>
      <c r="M53" s="18">
        <v>239</v>
      </c>
      <c r="N53" s="18">
        <v>369</v>
      </c>
      <c r="O53" s="19">
        <f>IFERROR((N53-M53)*K53,0)</f>
      </c>
      <c r="P53" s="18">
        <v>154</v>
      </c>
      <c r="Q53" s="18">
        <v>239</v>
      </c>
      <c r="R53" s="18">
        <v>369</v>
      </c>
      <c r="S53" s="16">
        <f>IFERROR((P53/Q53)*R53,0)</f>
      </c>
      <c r="T53" s="16">
        <f>IFERROR((S53-P53)*((F53-G53)*0.8),0)</f>
      </c>
      <c r="U53" s="20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421</v>
      </c>
      <c r="D54" s="7" t="s">
        <v>524</v>
      </c>
      <c r="E54" s="7" t="s">
        <v>41</v>
      </c>
      <c r="F54" s="7">
        <v>1.294</v>
      </c>
      <c r="G54" s="7">
        <v>1.245</v>
      </c>
      <c r="H54" s="7" t="s">
        <v>70</v>
      </c>
      <c r="I54" s="7" t="s">
        <v>141</v>
      </c>
      <c r="J54" s="7" t="s">
        <v>525</v>
      </c>
      <c r="K54" s="8">
        <f>F54*1.06</f>
      </c>
      <c r="L54" s="9">
        <v>521.5</v>
      </c>
      <c r="M54" s="10">
        <v>241</v>
      </c>
      <c r="N54" s="10">
        <v>379</v>
      </c>
      <c r="O54" s="11">
        <f>IFERROR((N54-M54)*K54,0)</f>
      </c>
      <c r="P54" s="10">
        <v>154</v>
      </c>
      <c r="Q54" s="10">
        <v>239</v>
      </c>
      <c r="R54" s="10">
        <v>369</v>
      </c>
      <c r="S54" s="8">
        <f>IFERROR((P54/Q54)*R54,0)</f>
      </c>
      <c r="T54" s="8">
        <f>IFERROR((S54-P54)*((F54-G54)*0.8),0)</f>
      </c>
      <c r="U54" s="12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421</v>
      </c>
      <c r="D55" s="15" t="s">
        <v>526</v>
      </c>
      <c r="E55" s="15" t="s">
        <v>335</v>
      </c>
      <c r="F55" s="15">
        <v>0.914</v>
      </c>
      <c r="G55" s="15">
        <v>0.862</v>
      </c>
      <c r="H55" s="15" t="s">
        <v>70</v>
      </c>
      <c r="I55" s="15" t="s">
        <v>38</v>
      </c>
      <c r="J55" s="15" t="s">
        <v>527</v>
      </c>
      <c r="K55" s="16">
        <f>F55*1.06</f>
      </c>
      <c r="L55" s="17">
        <v>375</v>
      </c>
      <c r="M55" s="18">
        <v>239</v>
      </c>
      <c r="N55" s="18">
        <v>369</v>
      </c>
      <c r="O55" s="19">
        <f>IFERROR((N55-M55)*K55,0)</f>
      </c>
      <c r="P55" s="18">
        <v>154</v>
      </c>
      <c r="Q55" s="18">
        <v>239</v>
      </c>
      <c r="R55" s="18">
        <v>369</v>
      </c>
      <c r="S55" s="16">
        <f>IFERROR((P55/Q55)*R55,0)</f>
      </c>
      <c r="T55" s="16">
        <f>IFERROR((S55-P55)*((F55-G55)*0.8),0)</f>
      </c>
      <c r="U55" s="20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421</v>
      </c>
      <c r="D56" s="7" t="s">
        <v>528</v>
      </c>
      <c r="E56" s="7" t="s">
        <v>432</v>
      </c>
      <c r="F56" s="7">
        <v>0.879</v>
      </c>
      <c r="G56" s="7">
        <v>0.839</v>
      </c>
      <c r="H56" s="7" t="s">
        <v>70</v>
      </c>
      <c r="I56" s="7" t="s">
        <v>38</v>
      </c>
      <c r="J56" s="7" t="s">
        <v>529</v>
      </c>
      <c r="K56" s="8">
        <f>F56*1.06</f>
      </c>
      <c r="L56" s="9">
        <v>373.55</v>
      </c>
      <c r="M56" s="10">
        <v>239</v>
      </c>
      <c r="N56" s="10">
        <v>369</v>
      </c>
      <c r="O56" s="11">
        <f>IFERROR((N56-M56)*K56,0)</f>
      </c>
      <c r="P56" s="10">
        <v>154</v>
      </c>
      <c r="Q56" s="10">
        <v>239</v>
      </c>
      <c r="R56" s="10">
        <v>369</v>
      </c>
      <c r="S56" s="8">
        <f>IFERROR((P56/Q56)*R56,0)</f>
      </c>
      <c r="T56" s="8">
        <f>IFERROR((S56-P56)*((F56-G56)*0.8),0)</f>
      </c>
      <c r="U56" s="12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421</v>
      </c>
      <c r="D57" s="15" t="s">
        <v>342</v>
      </c>
      <c r="E57" s="15" t="s">
        <v>343</v>
      </c>
      <c r="F57" s="15">
        <v>0.193</v>
      </c>
      <c r="G57" s="15">
        <v>0.169</v>
      </c>
      <c r="H57" s="15" t="s">
        <v>70</v>
      </c>
      <c r="I57" s="15" t="s">
        <v>71</v>
      </c>
      <c r="J57" s="15" t="s">
        <v>530</v>
      </c>
      <c r="K57" s="16">
        <f>F57*1.06</f>
      </c>
      <c r="L57" s="17">
        <v>98.68</v>
      </c>
      <c r="M57" s="18">
        <v>231</v>
      </c>
      <c r="N57" s="18">
        <v>377</v>
      </c>
      <c r="O57" s="19">
        <f>IFERROR((N57-M57)*K57,0)</f>
      </c>
      <c r="P57" s="18">
        <v>154</v>
      </c>
      <c r="Q57" s="18">
        <v>239</v>
      </c>
      <c r="R57" s="18">
        <v>369</v>
      </c>
      <c r="S57" s="16">
        <f>IFERROR((P57/Q57)*R57,0)</f>
      </c>
      <c r="T57" s="16">
        <f>IFERROR((S57-P57)*((F57-G57)*0.8),0)</f>
      </c>
      <c r="U57" s="20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421</v>
      </c>
      <c r="D58" s="7" t="s">
        <v>246</v>
      </c>
      <c r="E58" s="7" t="s">
        <v>242</v>
      </c>
      <c r="F58" s="7">
        <v>0.287</v>
      </c>
      <c r="G58" s="7">
        <v>0.252</v>
      </c>
      <c r="H58" s="7" t="s">
        <v>70</v>
      </c>
      <c r="I58" s="7" t="s">
        <v>71</v>
      </c>
      <c r="J58" s="7" t="s">
        <v>531</v>
      </c>
      <c r="K58" s="8">
        <f>F58*1.06</f>
      </c>
      <c r="L58" s="9">
        <v>151.56</v>
      </c>
      <c r="M58" s="10">
        <v>231</v>
      </c>
      <c r="N58" s="10">
        <v>377</v>
      </c>
      <c r="O58" s="11">
        <f>IFERROR((N58-M58)*K58,0)</f>
      </c>
      <c r="P58" s="10">
        <v>154</v>
      </c>
      <c r="Q58" s="10">
        <v>239</v>
      </c>
      <c r="R58" s="10">
        <v>369</v>
      </c>
      <c r="S58" s="8">
        <f>IFERROR((P58/Q58)*R58,0)</f>
      </c>
      <c r="T58" s="8">
        <f>IFERROR((S58-P58)*((F58-G58)*0.8),0)</f>
      </c>
      <c r="U58" s="12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421</v>
      </c>
      <c r="D59" s="15" t="s">
        <v>532</v>
      </c>
      <c r="E59" s="15" t="s">
        <v>533</v>
      </c>
      <c r="F59" s="15">
        <v>0.716</v>
      </c>
      <c r="G59" s="15">
        <v>0.669</v>
      </c>
      <c r="H59" s="15" t="s">
        <v>70</v>
      </c>
      <c r="I59" s="15" t="s">
        <v>38</v>
      </c>
      <c r="J59" s="15" t="s">
        <v>534</v>
      </c>
      <c r="K59" s="16">
        <f>F59*1.06</f>
      </c>
      <c r="L59" s="17">
        <v>301.33</v>
      </c>
      <c r="M59" s="18">
        <v>239</v>
      </c>
      <c r="N59" s="18">
        <v>369</v>
      </c>
      <c r="O59" s="19">
        <f>IFERROR((N59-M59)*K59,0)</f>
      </c>
      <c r="P59" s="18">
        <v>154</v>
      </c>
      <c r="Q59" s="18">
        <v>239</v>
      </c>
      <c r="R59" s="18">
        <v>369</v>
      </c>
      <c r="S59" s="16">
        <f>IFERROR((P59/Q59)*R59,0)</f>
      </c>
      <c r="T59" s="16">
        <f>IFERROR((S59-P59)*((F59-G59)*0.8),0)</f>
      </c>
      <c r="U59" s="20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421</v>
      </c>
      <c r="D60" s="7" t="s">
        <v>535</v>
      </c>
      <c r="E60" s="7" t="s">
        <v>82</v>
      </c>
      <c r="F60" s="7">
        <v>0.541</v>
      </c>
      <c r="G60" s="7">
        <v>0.476</v>
      </c>
      <c r="H60" s="7" t="s">
        <v>70</v>
      </c>
      <c r="I60" s="7" t="s">
        <v>71</v>
      </c>
      <c r="J60" s="7" t="s">
        <v>536</v>
      </c>
      <c r="K60" s="8">
        <f>F60*1.06</f>
      </c>
      <c r="L60" s="9">
        <v>265.63</v>
      </c>
      <c r="M60" s="10">
        <v>231</v>
      </c>
      <c r="N60" s="10">
        <v>377</v>
      </c>
      <c r="O60" s="11">
        <f>IFERROR((N60-M60)*K60,0)</f>
      </c>
      <c r="P60" s="10">
        <v>154</v>
      </c>
      <c r="Q60" s="10">
        <v>239</v>
      </c>
      <c r="R60" s="10">
        <v>369</v>
      </c>
      <c r="S60" s="8">
        <f>IFERROR((P60/Q60)*R60,0)</f>
      </c>
      <c r="T60" s="8">
        <f>IFERROR((S60-P60)*((F60-G60)*0.8),0)</f>
      </c>
      <c r="U60" s="12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421</v>
      </c>
      <c r="D61" s="15" t="s">
        <v>327</v>
      </c>
      <c r="E61" s="15" t="s">
        <v>328</v>
      </c>
      <c r="F61" s="15">
        <v>0.435</v>
      </c>
      <c r="G61" s="15">
        <v>0.375</v>
      </c>
      <c r="H61" s="15" t="s">
        <v>70</v>
      </c>
      <c r="I61" s="15" t="s">
        <v>71</v>
      </c>
      <c r="J61" s="15" t="s">
        <v>537</v>
      </c>
      <c r="K61" s="16">
        <f>F61*1.06</f>
      </c>
      <c r="L61" s="17">
        <v>217.1</v>
      </c>
      <c r="M61" s="18">
        <v>231</v>
      </c>
      <c r="N61" s="18">
        <v>377</v>
      </c>
      <c r="O61" s="19">
        <f>IFERROR((N61-M61)*K61,0)</f>
      </c>
      <c r="P61" s="18">
        <v>154</v>
      </c>
      <c r="Q61" s="18">
        <v>239</v>
      </c>
      <c r="R61" s="18">
        <v>369</v>
      </c>
      <c r="S61" s="16">
        <f>IFERROR((P61/Q61)*R61,0)</f>
      </c>
      <c r="T61" s="16">
        <f>IFERROR((S61-P61)*((F61-G61)*0.8),0)</f>
      </c>
      <c r="U61" s="20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421</v>
      </c>
      <c r="D62" s="7" t="s">
        <v>316</v>
      </c>
      <c r="E62" s="7" t="s">
        <v>317</v>
      </c>
      <c r="F62" s="7">
        <v>0.435</v>
      </c>
      <c r="G62" s="7">
        <v>0.377</v>
      </c>
      <c r="H62" s="7" t="s">
        <v>70</v>
      </c>
      <c r="I62" s="7" t="s">
        <v>71</v>
      </c>
      <c r="J62" s="7" t="s">
        <v>538</v>
      </c>
      <c r="K62" s="8">
        <f>F62*1.06</f>
      </c>
      <c r="L62" s="9">
        <v>217.1</v>
      </c>
      <c r="M62" s="10">
        <v>231</v>
      </c>
      <c r="N62" s="10">
        <v>377</v>
      </c>
      <c r="O62" s="11">
        <f>IFERROR((N62-M62)*K62,0)</f>
      </c>
      <c r="P62" s="10">
        <v>154</v>
      </c>
      <c r="Q62" s="10">
        <v>239</v>
      </c>
      <c r="R62" s="10">
        <v>369</v>
      </c>
      <c r="S62" s="8">
        <f>IFERROR((P62/Q62)*R62,0)</f>
      </c>
      <c r="T62" s="8">
        <f>IFERROR((S62-P62)*((F62-G62)*0.8),0)</f>
      </c>
      <c r="U62" s="12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421</v>
      </c>
      <c r="D63" s="15" t="s">
        <v>482</v>
      </c>
      <c r="E63" s="15" t="s">
        <v>82</v>
      </c>
      <c r="F63" s="15">
        <v>0.518</v>
      </c>
      <c r="G63" s="15">
        <v>0.458</v>
      </c>
      <c r="H63" s="15" t="s">
        <v>70</v>
      </c>
      <c r="I63" s="15" t="s">
        <v>71</v>
      </c>
      <c r="J63" s="15" t="s">
        <v>539</v>
      </c>
      <c r="K63" s="16">
        <f>F63*1.06</f>
      </c>
      <c r="L63" s="17">
        <v>263.15</v>
      </c>
      <c r="M63" s="18">
        <v>231</v>
      </c>
      <c r="N63" s="18">
        <v>377</v>
      </c>
      <c r="O63" s="19">
        <f>IFERROR((N63-M63)*K63,0)</f>
      </c>
      <c r="P63" s="18">
        <v>154</v>
      </c>
      <c r="Q63" s="18">
        <v>239</v>
      </c>
      <c r="R63" s="18">
        <v>369</v>
      </c>
      <c r="S63" s="16">
        <f>IFERROR((P63/Q63)*R63,0)</f>
      </c>
      <c r="T63" s="16">
        <f>IFERROR((S63-P63)*((F63-G63)*0.8),0)</f>
      </c>
      <c r="U63" s="20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421</v>
      </c>
      <c r="D64" s="7" t="s">
        <v>540</v>
      </c>
      <c r="E64" s="7" t="s">
        <v>541</v>
      </c>
      <c r="F64" s="7">
        <v>0.49</v>
      </c>
      <c r="G64" s="7">
        <v>0.489</v>
      </c>
      <c r="H64" s="7" t="s">
        <v>70</v>
      </c>
      <c r="I64" s="7" t="s">
        <v>38</v>
      </c>
      <c r="J64" s="7" t="s">
        <v>542</v>
      </c>
      <c r="K64" s="8">
        <f>F64*1.06</f>
      </c>
      <c r="L64" s="9">
        <v>267.93</v>
      </c>
      <c r="M64" s="10">
        <v>239</v>
      </c>
      <c r="N64" s="10">
        <v>369</v>
      </c>
      <c r="O64" s="11">
        <f>IFERROR((N64-M64)*K64,0)</f>
      </c>
      <c r="P64" s="10">
        <v>154</v>
      </c>
      <c r="Q64" s="10">
        <v>239</v>
      </c>
      <c r="R64" s="10">
        <v>369</v>
      </c>
      <c r="S64" s="8">
        <f>IFERROR((P64/Q64)*R64,0)</f>
      </c>
      <c r="T64" s="8">
        <f>IFERROR((S64-P64)*((F64-G64)*0.8),0)</f>
      </c>
      <c r="U64" s="12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421</v>
      </c>
      <c r="D65" s="15" t="s">
        <v>480</v>
      </c>
      <c r="E65" s="15" t="s">
        <v>294</v>
      </c>
      <c r="F65" s="15">
        <v>0.518</v>
      </c>
      <c r="G65" s="15">
        <v>0.518</v>
      </c>
      <c r="H65" s="15" t="s">
        <v>70</v>
      </c>
      <c r="I65" s="15" t="s">
        <v>71</v>
      </c>
      <c r="J65" s="15" t="s">
        <v>543</v>
      </c>
      <c r="K65" s="16">
        <f>F65*1.06</f>
      </c>
      <c r="L65" s="17">
        <v>264.95</v>
      </c>
      <c r="M65" s="18">
        <v>231</v>
      </c>
      <c r="N65" s="18">
        <v>377</v>
      </c>
      <c r="O65" s="19">
        <f>IFERROR((N65-M65)*K65,0)</f>
      </c>
      <c r="P65" s="24" t="s">
        <v>85</v>
      </c>
      <c r="Q65" s="24" t="s">
        <v>85</v>
      </c>
      <c r="R65" s="24" t="s">
        <v>85</v>
      </c>
      <c r="S65" s="24" t="s">
        <v>85</v>
      </c>
      <c r="T65" s="16">
        <v>0</v>
      </c>
      <c r="U65" s="20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421</v>
      </c>
      <c r="D66" s="7" t="s">
        <v>494</v>
      </c>
      <c r="E66" s="7" t="s">
        <v>79</v>
      </c>
      <c r="F66" s="7">
        <v>0.251</v>
      </c>
      <c r="G66" s="7">
        <v>0.212</v>
      </c>
      <c r="H66" s="7" t="s">
        <v>70</v>
      </c>
      <c r="I66" s="7" t="s">
        <v>38</v>
      </c>
      <c r="J66" s="7" t="s">
        <v>544</v>
      </c>
      <c r="K66" s="8">
        <f>F66*1.06</f>
      </c>
      <c r="L66" s="9">
        <v>120.34</v>
      </c>
      <c r="M66" s="10">
        <v>239</v>
      </c>
      <c r="N66" s="10">
        <v>369</v>
      </c>
      <c r="O66" s="11">
        <f>IFERROR((N66-M66)*K66,0)</f>
      </c>
      <c r="P66" s="10">
        <v>154</v>
      </c>
      <c r="Q66" s="10">
        <v>239</v>
      </c>
      <c r="R66" s="10">
        <v>369</v>
      </c>
      <c r="S66" s="8">
        <f>IFERROR((P66/Q66)*R66,0)</f>
      </c>
      <c r="T66" s="8">
        <f>IFERROR((S66-P66)*((F66-G66)*0.8),0)</f>
      </c>
      <c r="U66" s="12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421</v>
      </c>
      <c r="D67" s="15" t="s">
        <v>545</v>
      </c>
      <c r="E67" s="15" t="s">
        <v>484</v>
      </c>
      <c r="F67" s="15">
        <v>0.412</v>
      </c>
      <c r="G67" s="15">
        <v>0.39</v>
      </c>
      <c r="H67" s="15" t="s">
        <v>70</v>
      </c>
      <c r="I67" s="15" t="s">
        <v>38</v>
      </c>
      <c r="J67" s="15" t="s">
        <v>546</v>
      </c>
      <c r="K67" s="16">
        <f>F67*1.06</f>
      </c>
      <c r="L67" s="17">
        <v>210.37</v>
      </c>
      <c r="M67" s="18">
        <v>239</v>
      </c>
      <c r="N67" s="18">
        <v>369</v>
      </c>
      <c r="O67" s="19">
        <f>IFERROR((N67-M67)*K67,0)</f>
      </c>
      <c r="P67" s="18">
        <v>154</v>
      </c>
      <c r="Q67" s="18">
        <v>239</v>
      </c>
      <c r="R67" s="18">
        <v>369</v>
      </c>
      <c r="S67" s="16">
        <f>IFERROR((P67/Q67)*R67,0)</f>
      </c>
      <c r="T67" s="16">
        <f>IFERROR((S67-P67)*((F67-G67)*0.8),0)</f>
      </c>
      <c r="U67" s="20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421</v>
      </c>
      <c r="D68" s="7" t="s">
        <v>486</v>
      </c>
      <c r="E68" s="7" t="s">
        <v>82</v>
      </c>
      <c r="F68" s="7">
        <v>0.412</v>
      </c>
      <c r="G68" s="7">
        <v>0.39</v>
      </c>
      <c r="H68" s="7" t="s">
        <v>70</v>
      </c>
      <c r="I68" s="7" t="s">
        <v>38</v>
      </c>
      <c r="J68" s="7" t="s">
        <v>547</v>
      </c>
      <c r="K68" s="8">
        <f>F68*1.06</f>
      </c>
      <c r="L68" s="9">
        <v>217.1</v>
      </c>
      <c r="M68" s="10">
        <v>239</v>
      </c>
      <c r="N68" s="10">
        <v>369</v>
      </c>
      <c r="O68" s="11">
        <f>IFERROR((N68-M68)*K68,0)</f>
      </c>
      <c r="P68" s="10">
        <v>154</v>
      </c>
      <c r="Q68" s="10">
        <v>239</v>
      </c>
      <c r="R68" s="10">
        <v>369</v>
      </c>
      <c r="S68" s="8">
        <f>IFERROR((P68/Q68)*R68,0)</f>
      </c>
      <c r="T68" s="8">
        <f>IFERROR((S68-P68)*((F68-G68)*0.8),0)</f>
      </c>
      <c r="U68" s="12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421</v>
      </c>
      <c r="D69" s="15" t="s">
        <v>492</v>
      </c>
      <c r="E69" s="15" t="s">
        <v>484</v>
      </c>
      <c r="F69" s="15">
        <v>0.379</v>
      </c>
      <c r="G69" s="15">
        <v>0.379</v>
      </c>
      <c r="H69" s="15" t="s">
        <v>70</v>
      </c>
      <c r="I69" s="15" t="s">
        <v>71</v>
      </c>
      <c r="J69" s="15" t="s">
        <v>548</v>
      </c>
      <c r="K69" s="16">
        <f>F69*1.06</f>
      </c>
      <c r="L69" s="17">
        <v>213.73</v>
      </c>
      <c r="M69" s="18">
        <v>231</v>
      </c>
      <c r="N69" s="18">
        <v>377</v>
      </c>
      <c r="O69" s="19">
        <f>IFERROR((N69-M69)*K69,0)</f>
      </c>
      <c r="P69" s="24" t="s">
        <v>85</v>
      </c>
      <c r="Q69" s="24" t="s">
        <v>85</v>
      </c>
      <c r="R69" s="24" t="s">
        <v>85</v>
      </c>
      <c r="S69" s="24" t="s">
        <v>85</v>
      </c>
      <c r="T69" s="16">
        <v>0</v>
      </c>
      <c r="U69" s="20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421</v>
      </c>
      <c r="D70" s="7" t="s">
        <v>549</v>
      </c>
      <c r="E70" s="7" t="s">
        <v>484</v>
      </c>
      <c r="F70" s="7">
        <v>0.389</v>
      </c>
      <c r="G70" s="7">
        <v>0.389</v>
      </c>
      <c r="H70" s="7" t="s">
        <v>70</v>
      </c>
      <c r="I70" s="7" t="s">
        <v>38</v>
      </c>
      <c r="J70" s="7" t="s">
        <v>550</v>
      </c>
      <c r="K70" s="8">
        <f>F70*1.06</f>
      </c>
      <c r="L70" s="9">
        <v>216.24</v>
      </c>
      <c r="M70" s="10">
        <v>239</v>
      </c>
      <c r="N70" s="10">
        <v>369</v>
      </c>
      <c r="O70" s="11">
        <f>IFERROR((N70-M70)*K70,0)</f>
      </c>
      <c r="P70" s="23" t="s">
        <v>85</v>
      </c>
      <c r="Q70" s="23" t="s">
        <v>85</v>
      </c>
      <c r="R70" s="23" t="s">
        <v>85</v>
      </c>
      <c r="S70" s="23" t="s">
        <v>85</v>
      </c>
      <c r="T70" s="8">
        <v>0</v>
      </c>
      <c r="U70" s="12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421</v>
      </c>
      <c r="D71" s="15" t="s">
        <v>551</v>
      </c>
      <c r="E71" s="15" t="s">
        <v>484</v>
      </c>
      <c r="F71" s="15">
        <v>0.412</v>
      </c>
      <c r="G71" s="15">
        <v>0.39</v>
      </c>
      <c r="H71" s="15" t="s">
        <v>70</v>
      </c>
      <c r="I71" s="15" t="s">
        <v>38</v>
      </c>
      <c r="J71" s="15" t="s">
        <v>552</v>
      </c>
      <c r="K71" s="16">
        <f>F71*1.06</f>
      </c>
      <c r="L71" s="17">
        <v>217.1</v>
      </c>
      <c r="M71" s="18">
        <v>239</v>
      </c>
      <c r="N71" s="18">
        <v>369</v>
      </c>
      <c r="O71" s="19">
        <f>IFERROR((N71-M71)*K71,0)</f>
      </c>
      <c r="P71" s="18">
        <v>154</v>
      </c>
      <c r="Q71" s="18">
        <v>239</v>
      </c>
      <c r="R71" s="18">
        <v>369</v>
      </c>
      <c r="S71" s="16">
        <f>IFERROR((P71/Q71)*R71,0)</f>
      </c>
      <c r="T71" s="16">
        <f>IFERROR((S71-P71)*((F71-G71)*0.8),0)</f>
      </c>
      <c r="U71" s="20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421</v>
      </c>
      <c r="D72" s="7" t="s">
        <v>438</v>
      </c>
      <c r="E72" s="7" t="s">
        <v>439</v>
      </c>
      <c r="F72" s="7">
        <v>0.133</v>
      </c>
      <c r="G72" s="7">
        <v>0.119</v>
      </c>
      <c r="H72" s="7" t="s">
        <v>154</v>
      </c>
      <c r="I72" s="7" t="s">
        <v>38</v>
      </c>
      <c r="J72" s="7" t="s">
        <v>553</v>
      </c>
      <c r="K72" s="8">
        <f>F72*1.06</f>
      </c>
      <c r="L72" s="9">
        <v>71.35</v>
      </c>
      <c r="M72" s="10">
        <v>239</v>
      </c>
      <c r="N72" s="10">
        <v>369</v>
      </c>
      <c r="O72" s="11">
        <f>IFERROR((N72-M72)*K72,0)</f>
      </c>
      <c r="P72" s="10">
        <v>154</v>
      </c>
      <c r="Q72" s="10">
        <v>239</v>
      </c>
      <c r="R72" s="10">
        <v>369</v>
      </c>
      <c r="S72" s="8">
        <f>IFERROR((P72/Q72)*R72,0)</f>
      </c>
      <c r="T72" s="8">
        <f>IFERROR((S72-P72)*((F72-G72)*0.8),0)</f>
      </c>
      <c r="U72" s="12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421</v>
      </c>
      <c r="D73" s="15" t="s">
        <v>244</v>
      </c>
      <c r="E73" s="15" t="s">
        <v>554</v>
      </c>
      <c r="F73" s="15">
        <v>0.304</v>
      </c>
      <c r="G73" s="15">
        <v>0.264</v>
      </c>
      <c r="H73" s="15" t="s">
        <v>83</v>
      </c>
      <c r="I73" s="15" t="s">
        <v>71</v>
      </c>
      <c r="J73" s="15" t="s">
        <v>555</v>
      </c>
      <c r="K73" s="16">
        <f>F73*1.06</f>
      </c>
      <c r="L73" s="17">
        <v>152.26</v>
      </c>
      <c r="M73" s="18">
        <v>231</v>
      </c>
      <c r="N73" s="18">
        <v>377</v>
      </c>
      <c r="O73" s="19">
        <f>IFERROR((N73-M73)*K73,0)</f>
      </c>
      <c r="P73" s="18">
        <v>154</v>
      </c>
      <c r="Q73" s="18">
        <v>239</v>
      </c>
      <c r="R73" s="18">
        <v>369</v>
      </c>
      <c r="S73" s="16">
        <f>IFERROR((P73/Q73)*R73,0)</f>
      </c>
      <c r="T73" s="16">
        <f>IFERROR((S73-P73)*((F73-G73)*0.8),0)</f>
      </c>
      <c r="U73" s="20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421</v>
      </c>
      <c r="D74" s="7" t="s">
        <v>434</v>
      </c>
      <c r="E74" s="7" t="s">
        <v>435</v>
      </c>
      <c r="F74" s="7">
        <v>0.455</v>
      </c>
      <c r="G74" s="7">
        <v>0.412</v>
      </c>
      <c r="H74" s="7" t="s">
        <v>83</v>
      </c>
      <c r="I74" s="7" t="s">
        <v>38</v>
      </c>
      <c r="J74" s="7" t="s">
        <v>556</v>
      </c>
      <c r="K74" s="8">
        <f>F74*1.06</f>
      </c>
      <c r="L74" s="9">
        <v>257.14</v>
      </c>
      <c r="M74" s="10">
        <v>239</v>
      </c>
      <c r="N74" s="10">
        <v>369</v>
      </c>
      <c r="O74" s="11">
        <f>IFERROR((N74-M74)*K74,0)</f>
      </c>
      <c r="P74" s="10">
        <v>154</v>
      </c>
      <c r="Q74" s="10">
        <v>239</v>
      </c>
      <c r="R74" s="10">
        <v>369</v>
      </c>
      <c r="S74" s="8">
        <f>IFERROR((P74/Q74)*R74,0)</f>
      </c>
      <c r="T74" s="8">
        <f>IFERROR((S74-P74)*((F74-G74)*0.8),0)</f>
      </c>
      <c r="U74" s="12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421</v>
      </c>
      <c r="D75" s="15" t="s">
        <v>521</v>
      </c>
      <c r="E75" s="15" t="s">
        <v>522</v>
      </c>
      <c r="F75" s="15">
        <v>0.31</v>
      </c>
      <c r="G75" s="15">
        <v>0.308</v>
      </c>
      <c r="H75" s="15" t="s">
        <v>83</v>
      </c>
      <c r="I75" s="15" t="s">
        <v>38</v>
      </c>
      <c r="J75" s="15" t="s">
        <v>557</v>
      </c>
      <c r="K75" s="16">
        <f>F75*1.06</f>
      </c>
      <c r="L75" s="17">
        <v>130.79</v>
      </c>
      <c r="M75" s="18">
        <v>239</v>
      </c>
      <c r="N75" s="18">
        <v>369</v>
      </c>
      <c r="O75" s="19">
        <f>IFERROR((N75-M75)*K75,0)</f>
      </c>
      <c r="P75" s="18">
        <v>154</v>
      </c>
      <c r="Q75" s="18">
        <v>239</v>
      </c>
      <c r="R75" s="18">
        <v>369</v>
      </c>
      <c r="S75" s="16">
        <f>IFERROR((P75/Q75)*R75,0)</f>
      </c>
      <c r="T75" s="16">
        <f>IFERROR((S75-P75)*((F75-G75)*0.8),0)</f>
      </c>
      <c r="U75" s="20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421</v>
      </c>
      <c r="D76" s="7" t="s">
        <v>438</v>
      </c>
      <c r="E76" s="7" t="s">
        <v>439</v>
      </c>
      <c r="F76" s="7">
        <v>0.133</v>
      </c>
      <c r="G76" s="7">
        <v>0.119</v>
      </c>
      <c r="H76" s="7" t="s">
        <v>83</v>
      </c>
      <c r="I76" s="7" t="s">
        <v>38</v>
      </c>
      <c r="J76" s="7" t="s">
        <v>558</v>
      </c>
      <c r="K76" s="8">
        <f>F76*1.06</f>
      </c>
      <c r="L76" s="9">
        <v>75.36</v>
      </c>
      <c r="M76" s="10">
        <v>239</v>
      </c>
      <c r="N76" s="10">
        <v>369</v>
      </c>
      <c r="O76" s="11">
        <f>IFERROR((N76-M76)*K76,0)</f>
      </c>
      <c r="P76" s="10">
        <v>154</v>
      </c>
      <c r="Q76" s="10">
        <v>239</v>
      </c>
      <c r="R76" s="10">
        <v>369</v>
      </c>
      <c r="S76" s="8">
        <f>IFERROR((P76/Q76)*R76,0)</f>
      </c>
      <c r="T76" s="8">
        <f>IFERROR((S76-P76)*((F76-G76)*0.8),0)</f>
      </c>
      <c r="U76" s="12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421</v>
      </c>
      <c r="D77" s="15" t="s">
        <v>462</v>
      </c>
      <c r="E77" s="15" t="s">
        <v>463</v>
      </c>
      <c r="F77" s="15">
        <v>0.111</v>
      </c>
      <c r="G77" s="15">
        <v>0.006</v>
      </c>
      <c r="H77" s="15" t="s">
        <v>83</v>
      </c>
      <c r="I77" s="15" t="s">
        <v>71</v>
      </c>
      <c r="J77" s="15" t="s">
        <v>559</v>
      </c>
      <c r="K77" s="16">
        <f>F77*1.06</f>
      </c>
      <c r="L77" s="17">
        <v>53.2</v>
      </c>
      <c r="M77" s="18">
        <v>231</v>
      </c>
      <c r="N77" s="18">
        <v>377</v>
      </c>
      <c r="O77" s="19">
        <f>IFERROR((N77-M77)*K77,0)</f>
      </c>
      <c r="P77" s="18">
        <v>154</v>
      </c>
      <c r="Q77" s="18">
        <v>239</v>
      </c>
      <c r="R77" s="18">
        <v>369</v>
      </c>
      <c r="S77" s="16">
        <f>IFERROR((P77/Q77)*R77,0)</f>
      </c>
      <c r="T77" s="16">
        <f>IFERROR((S77-P77)*((F77-G77)*0.8),0)</f>
      </c>
      <c r="U77" s="20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421</v>
      </c>
      <c r="D78" s="7" t="s">
        <v>560</v>
      </c>
      <c r="E78" s="7" t="s">
        <v>79</v>
      </c>
      <c r="F78" s="7">
        <v>0.171</v>
      </c>
      <c r="G78" s="7">
        <v>0.148</v>
      </c>
      <c r="H78" s="7" t="s">
        <v>83</v>
      </c>
      <c r="I78" s="7" t="s">
        <v>38</v>
      </c>
      <c r="J78" s="7" t="s">
        <v>561</v>
      </c>
      <c r="K78" s="8">
        <f>F78*1.06</f>
      </c>
      <c r="L78" s="9">
        <v>102.16</v>
      </c>
      <c r="M78" s="10">
        <v>239</v>
      </c>
      <c r="N78" s="10">
        <v>369</v>
      </c>
      <c r="O78" s="11">
        <f>IFERROR((N78-M78)*K78,0)</f>
      </c>
      <c r="P78" s="10">
        <v>154</v>
      </c>
      <c r="Q78" s="10">
        <v>239</v>
      </c>
      <c r="R78" s="10">
        <v>369</v>
      </c>
      <c r="S78" s="8">
        <f>IFERROR((P78/Q78)*R78,0)</f>
      </c>
      <c r="T78" s="8">
        <f>IFERROR((S78-P78)*((F78-G78)*0.8),0)</f>
      </c>
      <c r="U78" s="12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421</v>
      </c>
      <c r="D79" s="15" t="s">
        <v>342</v>
      </c>
      <c r="E79" s="15" t="s">
        <v>343</v>
      </c>
      <c r="F79" s="15">
        <v>0.193</v>
      </c>
      <c r="G79" s="15">
        <v>0.169</v>
      </c>
      <c r="H79" s="15" t="s">
        <v>83</v>
      </c>
      <c r="I79" s="15" t="s">
        <v>71</v>
      </c>
      <c r="J79" s="15" t="s">
        <v>562</v>
      </c>
      <c r="K79" s="16">
        <f>F79*1.06</f>
      </c>
      <c r="L79" s="17">
        <v>98.71</v>
      </c>
      <c r="M79" s="18">
        <v>231</v>
      </c>
      <c r="N79" s="18">
        <v>377</v>
      </c>
      <c r="O79" s="19">
        <f>IFERROR((N79-M79)*K79,0)</f>
      </c>
      <c r="P79" s="18">
        <v>154</v>
      </c>
      <c r="Q79" s="18">
        <v>239</v>
      </c>
      <c r="R79" s="18">
        <v>369</v>
      </c>
      <c r="S79" s="16">
        <f>IFERROR((P79/Q79)*R79,0)</f>
      </c>
      <c r="T79" s="16">
        <f>IFERROR((S79-P79)*((F79-G79)*0.8),0)</f>
      </c>
      <c r="U79" s="20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421</v>
      </c>
      <c r="D80" s="7" t="s">
        <v>459</v>
      </c>
      <c r="E80" s="7" t="s">
        <v>460</v>
      </c>
      <c r="F80" s="7">
        <v>1.052</v>
      </c>
      <c r="G80" s="7">
        <v>1.032</v>
      </c>
      <c r="H80" s="7" t="s">
        <v>83</v>
      </c>
      <c r="I80" s="7" t="s">
        <v>71</v>
      </c>
      <c r="J80" s="7" t="s">
        <v>563</v>
      </c>
      <c r="K80" s="8">
        <f>F80*1.06</f>
      </c>
      <c r="L80" s="9">
        <v>367.96</v>
      </c>
      <c r="M80" s="10">
        <v>231</v>
      </c>
      <c r="N80" s="10">
        <v>377</v>
      </c>
      <c r="O80" s="11">
        <f>IFERROR((N80-M80)*K80,0)</f>
      </c>
      <c r="P80" s="10">
        <v>154</v>
      </c>
      <c r="Q80" s="10">
        <v>239</v>
      </c>
      <c r="R80" s="10">
        <v>369</v>
      </c>
      <c r="S80" s="8">
        <f>IFERROR((P80/Q80)*R80,0)</f>
      </c>
      <c r="T80" s="8">
        <f>IFERROR((S80-P80)*((F80-G80)*0.8),0)</f>
      </c>
      <c r="U80" s="12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421</v>
      </c>
      <c r="D81" s="15" t="s">
        <v>532</v>
      </c>
      <c r="E81" s="15" t="s">
        <v>432</v>
      </c>
      <c r="F81" s="15">
        <v>0.716</v>
      </c>
      <c r="G81" s="15">
        <v>0.669</v>
      </c>
      <c r="H81" s="15" t="s">
        <v>83</v>
      </c>
      <c r="I81" s="15" t="s">
        <v>38</v>
      </c>
      <c r="J81" s="15" t="s">
        <v>564</v>
      </c>
      <c r="K81" s="16">
        <f>F81*1.06</f>
      </c>
      <c r="L81" s="17">
        <v>303.26</v>
      </c>
      <c r="M81" s="18">
        <v>239</v>
      </c>
      <c r="N81" s="18">
        <v>369</v>
      </c>
      <c r="O81" s="19">
        <f>IFERROR((N81-M81)*K81,0)</f>
      </c>
      <c r="P81" s="18">
        <v>154</v>
      </c>
      <c r="Q81" s="18">
        <v>239</v>
      </c>
      <c r="R81" s="18">
        <v>369</v>
      </c>
      <c r="S81" s="16">
        <f>IFERROR((P81/Q81)*R81,0)</f>
      </c>
      <c r="T81" s="16">
        <f>IFERROR((S81-P81)*((F81-G81)*0.8),0)</f>
      </c>
      <c r="U81" s="20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421</v>
      </c>
      <c r="D82" s="7" t="s">
        <v>444</v>
      </c>
      <c r="E82" s="7" t="s">
        <v>445</v>
      </c>
      <c r="F82" s="7">
        <v>0.145</v>
      </c>
      <c r="G82" s="7">
        <v>0.145</v>
      </c>
      <c r="H82" s="7" t="s">
        <v>83</v>
      </c>
      <c r="I82" s="7" t="s">
        <v>71</v>
      </c>
      <c r="J82" s="7" t="s">
        <v>565</v>
      </c>
      <c r="K82" s="8">
        <f>F82*1.06</f>
      </c>
      <c r="L82" s="9">
        <v>69.2</v>
      </c>
      <c r="M82" s="10">
        <v>231</v>
      </c>
      <c r="N82" s="10">
        <v>377</v>
      </c>
      <c r="O82" s="11">
        <f>IFERROR((N82-M82)*K82,0)</f>
      </c>
      <c r="P82" s="23" t="s">
        <v>85</v>
      </c>
      <c r="Q82" s="23" t="s">
        <v>85</v>
      </c>
      <c r="R82" s="23" t="s">
        <v>85</v>
      </c>
      <c r="S82" s="23" t="s">
        <v>85</v>
      </c>
      <c r="T82" s="8">
        <v>0</v>
      </c>
      <c r="U82" s="12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421</v>
      </c>
      <c r="D83" s="15" t="s">
        <v>566</v>
      </c>
      <c r="E83" s="15" t="s">
        <v>567</v>
      </c>
      <c r="F83" s="15">
        <v>0.528</v>
      </c>
      <c r="G83" s="15">
        <v>0.528</v>
      </c>
      <c r="H83" s="15" t="s">
        <v>83</v>
      </c>
      <c r="I83" s="15" t="s">
        <v>71</v>
      </c>
      <c r="J83" s="15" t="s">
        <v>568</v>
      </c>
      <c r="K83" s="16">
        <f>F83*1.06</f>
      </c>
      <c r="L83" s="17">
        <v>198.63</v>
      </c>
      <c r="M83" s="18">
        <v>231</v>
      </c>
      <c r="N83" s="18">
        <v>377</v>
      </c>
      <c r="O83" s="19">
        <f>IFERROR((N83-M83)*K83,0)</f>
      </c>
      <c r="P83" s="24" t="s">
        <v>85</v>
      </c>
      <c r="Q83" s="24" t="s">
        <v>85</v>
      </c>
      <c r="R83" s="24" t="s">
        <v>85</v>
      </c>
      <c r="S83" s="24" t="s">
        <v>85</v>
      </c>
      <c r="T83" s="16">
        <v>0</v>
      </c>
      <c r="U83" s="20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421</v>
      </c>
      <c r="D84" s="7" t="s">
        <v>473</v>
      </c>
      <c r="E84" s="7" t="s">
        <v>474</v>
      </c>
      <c r="F84" s="7">
        <v>0.178</v>
      </c>
      <c r="G84" s="7">
        <v>0.159</v>
      </c>
      <c r="H84" s="7" t="s">
        <v>83</v>
      </c>
      <c r="I84" s="7" t="s">
        <v>71</v>
      </c>
      <c r="J84" s="7" t="s">
        <v>569</v>
      </c>
      <c r="K84" s="8">
        <f>F84*1.06</f>
      </c>
      <c r="L84" s="9">
        <v>95.65</v>
      </c>
      <c r="M84" s="10">
        <v>231</v>
      </c>
      <c r="N84" s="10">
        <v>377</v>
      </c>
      <c r="O84" s="11">
        <f>IFERROR((N84-M84)*K84,0)</f>
      </c>
      <c r="P84" s="10">
        <v>154</v>
      </c>
      <c r="Q84" s="10">
        <v>239</v>
      </c>
      <c r="R84" s="10">
        <v>369</v>
      </c>
      <c r="S84" s="8">
        <f>IFERROR((P84/Q84)*R84,0)</f>
      </c>
      <c r="T84" s="8">
        <f>IFERROR((S84-P84)*((F84-G84)*0.8),0)</f>
      </c>
      <c r="U84" s="12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421</v>
      </c>
      <c r="D85" s="15" t="s">
        <v>570</v>
      </c>
      <c r="E85" s="15" t="s">
        <v>571</v>
      </c>
      <c r="F85" s="15">
        <v>0.402</v>
      </c>
      <c r="G85" s="15">
        <v>0.376</v>
      </c>
      <c r="H85" s="15" t="s">
        <v>83</v>
      </c>
      <c r="I85" s="15" t="s">
        <v>71</v>
      </c>
      <c r="J85" s="15" t="s">
        <v>572</v>
      </c>
      <c r="K85" s="16">
        <f>F85*1.06</f>
      </c>
      <c r="L85" s="17">
        <v>193.65</v>
      </c>
      <c r="M85" s="18">
        <v>231</v>
      </c>
      <c r="N85" s="18">
        <v>377</v>
      </c>
      <c r="O85" s="19">
        <f>IFERROR((N85-M85)*K85,0)</f>
      </c>
      <c r="P85" s="18">
        <v>154</v>
      </c>
      <c r="Q85" s="18">
        <v>239</v>
      </c>
      <c r="R85" s="18">
        <v>369</v>
      </c>
      <c r="S85" s="16">
        <f>IFERROR((P85/Q85)*R85,0)</f>
      </c>
      <c r="T85" s="16">
        <f>IFERROR((S85-P85)*((F85-G85)*0.8),0)</f>
      </c>
      <c r="U85" s="20">
        <f>ROUND(L85+O85-T85,2)</f>
      </c>
      <c r="V85" s="21">
        <v>0</v>
      </c>
      <c r="W85" s="22">
        <f>(U85-L85)*V85/100000</f>
      </c>
    </row>
    <row r="86" spans="1:23" x14ac:dyDescent="0.25">
      <c r="A86" s="7">
        <v>83</v>
      </c>
      <c r="B86" s="7">
        <f>D86&amp;H86</f>
      </c>
      <c r="C86" s="7" t="s">
        <v>421</v>
      </c>
      <c r="D86" s="7" t="s">
        <v>494</v>
      </c>
      <c r="E86" s="7" t="s">
        <v>573</v>
      </c>
      <c r="F86" s="7">
        <v>0.251</v>
      </c>
      <c r="G86" s="7">
        <v>0.212</v>
      </c>
      <c r="H86" s="7" t="s">
        <v>83</v>
      </c>
      <c r="I86" s="7" t="s">
        <v>38</v>
      </c>
      <c r="J86" s="7" t="s">
        <v>574</v>
      </c>
      <c r="K86" s="8">
        <f>F86*1.06</f>
      </c>
      <c r="L86" s="9">
        <v>125</v>
      </c>
      <c r="M86" s="10">
        <v>239</v>
      </c>
      <c r="N86" s="10">
        <v>369</v>
      </c>
      <c r="O86" s="11">
        <f>IFERROR((N86-M86)*K86,0)</f>
      </c>
      <c r="P86" s="10">
        <v>154</v>
      </c>
      <c r="Q86" s="10">
        <v>239</v>
      </c>
      <c r="R86" s="10">
        <v>369</v>
      </c>
      <c r="S86" s="8">
        <f>IFERROR((P86/Q86)*R86,0)</f>
      </c>
      <c r="T86" s="8">
        <f>IFERROR((S86-P86)*((F86-G86)*0.8),0)</f>
      </c>
      <c r="U86" s="12">
        <f>ROUND(L86+O86-T86,2)</f>
      </c>
      <c r="V86" s="13">
        <v>0</v>
      </c>
      <c r="W86" s="14">
        <f>(U86-L86)*V86/100000</f>
      </c>
    </row>
    <row r="87" spans="1:23" x14ac:dyDescent="0.25">
      <c r="A87" s="15">
        <v>84</v>
      </c>
      <c r="B87" s="15">
        <f>D87&amp;H87</f>
      </c>
      <c r="C87" s="15" t="s">
        <v>421</v>
      </c>
      <c r="D87" s="15" t="s">
        <v>575</v>
      </c>
      <c r="E87" s="15" t="s">
        <v>41</v>
      </c>
      <c r="F87" s="15">
        <v>1.022</v>
      </c>
      <c r="G87" s="15">
        <v>1.022</v>
      </c>
      <c r="H87" s="15" t="s">
        <v>83</v>
      </c>
      <c r="I87" s="15" t="s">
        <v>38</v>
      </c>
      <c r="J87" s="15" t="s">
        <v>576</v>
      </c>
      <c r="K87" s="16">
        <f>F87*1.06</f>
      </c>
      <c r="L87" s="17">
        <v>373.32</v>
      </c>
      <c r="M87" s="18">
        <v>239</v>
      </c>
      <c r="N87" s="18">
        <v>369</v>
      </c>
      <c r="O87" s="19">
        <f>IFERROR((N87-M87)*K87,0)</f>
      </c>
      <c r="P87" s="24" t="s">
        <v>85</v>
      </c>
      <c r="Q87" s="24" t="s">
        <v>85</v>
      </c>
      <c r="R87" s="24" t="s">
        <v>85</v>
      </c>
      <c r="S87" s="24" t="s">
        <v>85</v>
      </c>
      <c r="T87" s="16">
        <v>0</v>
      </c>
      <c r="U87" s="20">
        <f>ROUND(L87+O87-T87,2)</f>
      </c>
      <c r="V87" s="21">
        <v>0</v>
      </c>
      <c r="W87" s="22">
        <f>(U87-L87)*V87/100000</f>
      </c>
    </row>
    <row r="88" spans="1:23" x14ac:dyDescent="0.25">
      <c r="A88" s="7">
        <v>85</v>
      </c>
      <c r="B88" s="7">
        <f>D88&amp;H88</f>
      </c>
      <c r="C88" s="7" t="s">
        <v>421</v>
      </c>
      <c r="D88" s="7" t="s">
        <v>577</v>
      </c>
      <c r="E88" s="7" t="s">
        <v>578</v>
      </c>
      <c r="F88" s="7">
        <v>0.716</v>
      </c>
      <c r="G88" s="7">
        <v>0.041</v>
      </c>
      <c r="H88" s="7" t="s">
        <v>83</v>
      </c>
      <c r="I88" s="7" t="s">
        <v>38</v>
      </c>
      <c r="J88" s="7" t="s">
        <v>579</v>
      </c>
      <c r="K88" s="8">
        <f>F88*1.06</f>
      </c>
      <c r="L88" s="9">
        <v>277.23</v>
      </c>
      <c r="M88" s="10">
        <v>239</v>
      </c>
      <c r="N88" s="10">
        <v>369</v>
      </c>
      <c r="O88" s="11">
        <f>IFERROR((N88-M88)*K88,0)</f>
      </c>
      <c r="P88" s="10">
        <v>154</v>
      </c>
      <c r="Q88" s="10">
        <v>239</v>
      </c>
      <c r="R88" s="10">
        <v>369</v>
      </c>
      <c r="S88" s="8">
        <f>IFERROR((P88/Q88)*R88,0)</f>
      </c>
      <c r="T88" s="8">
        <f>IFERROR((S88-P88)*((F88-G88)*0.8),0)</f>
      </c>
      <c r="U88" s="12">
        <f>ROUND(L88+O88-T88,2)</f>
      </c>
      <c r="V88" s="13">
        <v>0</v>
      </c>
      <c r="W88" s="14">
        <f>(U88-L88)*V88/100000</f>
      </c>
    </row>
    <row r="89" spans="1:23" x14ac:dyDescent="0.25">
      <c r="A89" s="15">
        <v>86</v>
      </c>
      <c r="B89" s="15">
        <f>D89&amp;H89</f>
      </c>
      <c r="C89" s="15" t="s">
        <v>421</v>
      </c>
      <c r="D89" s="15" t="s">
        <v>580</v>
      </c>
      <c r="E89" s="15" t="s">
        <v>573</v>
      </c>
      <c r="F89" s="15">
        <v>0.171</v>
      </c>
      <c r="G89" s="15">
        <v>0.151</v>
      </c>
      <c r="H89" s="15" t="s">
        <v>83</v>
      </c>
      <c r="I89" s="15" t="s">
        <v>38</v>
      </c>
      <c r="J89" s="15" t="s">
        <v>581</v>
      </c>
      <c r="K89" s="16">
        <f>F89*1.06</f>
      </c>
      <c r="L89" s="17">
        <v>101.36</v>
      </c>
      <c r="M89" s="18">
        <v>239</v>
      </c>
      <c r="N89" s="18">
        <v>369</v>
      </c>
      <c r="O89" s="19">
        <f>IFERROR((N89-M89)*K89,0)</f>
      </c>
      <c r="P89" s="18">
        <v>154</v>
      </c>
      <c r="Q89" s="18">
        <v>239</v>
      </c>
      <c r="R89" s="18">
        <v>369</v>
      </c>
      <c r="S89" s="16">
        <f>IFERROR((P89/Q89)*R89,0)</f>
      </c>
      <c r="T89" s="16">
        <f>IFERROR((S89-P89)*((F89-G89)*0.8),0)</f>
      </c>
      <c r="U89" s="20">
        <f>ROUND(L89+O89-T89,2)</f>
      </c>
      <c r="V89" s="21">
        <v>0</v>
      </c>
      <c r="W89" s="22">
        <f>(U89-L89)*V89/100000</f>
      </c>
    </row>
    <row r="90" spans="1:23" x14ac:dyDescent="0.25">
      <c r="A90" s="7">
        <v>87</v>
      </c>
      <c r="B90" s="7">
        <f>D90&amp;H90</f>
      </c>
      <c r="C90" s="7" t="s">
        <v>421</v>
      </c>
      <c r="D90" s="7" t="s">
        <v>40</v>
      </c>
      <c r="E90" s="7" t="s">
        <v>484</v>
      </c>
      <c r="F90" s="7">
        <v>1.182</v>
      </c>
      <c r="G90" s="7">
        <v>1.172</v>
      </c>
      <c r="H90" s="7" t="s">
        <v>83</v>
      </c>
      <c r="I90" s="7" t="s">
        <v>38</v>
      </c>
      <c r="J90" s="7" t="s">
        <v>582</v>
      </c>
      <c r="K90" s="8">
        <f>F90*1.06</f>
      </c>
      <c r="L90" s="9">
        <v>467.13</v>
      </c>
      <c r="M90" s="10">
        <v>239</v>
      </c>
      <c r="N90" s="10">
        <v>369</v>
      </c>
      <c r="O90" s="11">
        <f>IFERROR((N90-M90)*K90,0)</f>
      </c>
      <c r="P90" s="10">
        <v>154</v>
      </c>
      <c r="Q90" s="10">
        <v>239</v>
      </c>
      <c r="R90" s="10">
        <v>369</v>
      </c>
      <c r="S90" s="8">
        <f>IFERROR((P90/Q90)*R90,0)</f>
      </c>
      <c r="T90" s="8">
        <f>IFERROR((S90-P90)*((F90-G90)*0.8),0)</f>
      </c>
      <c r="U90" s="12">
        <f>ROUND(L90+O90-T90,2)</f>
      </c>
      <c r="V90" s="13">
        <v>0</v>
      </c>
      <c r="W90" s="14">
        <f>(U90-L90)*V90/100000</f>
      </c>
    </row>
    <row r="91" spans="1:23" x14ac:dyDescent="0.25">
      <c r="A91" s="15">
        <v>88</v>
      </c>
      <c r="B91" s="15">
        <f>D91&amp;H91</f>
      </c>
      <c r="C91" s="15" t="s">
        <v>421</v>
      </c>
      <c r="D91" s="15" t="s">
        <v>444</v>
      </c>
      <c r="E91" s="15" t="s">
        <v>445</v>
      </c>
      <c r="F91" s="15">
        <v>0.145</v>
      </c>
      <c r="G91" s="15">
        <v>0.145</v>
      </c>
      <c r="H91" s="15" t="s">
        <v>583</v>
      </c>
      <c r="I91" s="15" t="s">
        <v>71</v>
      </c>
      <c r="J91" s="15" t="s">
        <v>584</v>
      </c>
      <c r="K91" s="16">
        <f>F91*1.06</f>
      </c>
      <c r="L91" s="17">
        <v>67.24</v>
      </c>
      <c r="M91" s="18">
        <v>231</v>
      </c>
      <c r="N91" s="18">
        <v>377</v>
      </c>
      <c r="O91" s="19">
        <f>IFERROR((N91-M91)*K91,0)</f>
      </c>
      <c r="P91" s="24" t="s">
        <v>85</v>
      </c>
      <c r="Q91" s="24" t="s">
        <v>85</v>
      </c>
      <c r="R91" s="24" t="s">
        <v>85</v>
      </c>
      <c r="S91" s="24" t="s">
        <v>85</v>
      </c>
      <c r="T91" s="16">
        <v>0</v>
      </c>
      <c r="U91" s="20">
        <f>ROUND(L91+O91-T91,2)</f>
      </c>
      <c r="V91" s="21">
        <v>0</v>
      </c>
      <c r="W91" s="22">
        <f>(U91-L91)*V91/100000</f>
      </c>
    </row>
    <row r="92" spans="1:23" x14ac:dyDescent="0.25">
      <c r="A92" s="7">
        <v>89</v>
      </c>
      <c r="B92" s="7">
        <f>D92&amp;H92</f>
      </c>
      <c r="C92" s="7" t="s">
        <v>421</v>
      </c>
      <c r="D92" s="7" t="s">
        <v>444</v>
      </c>
      <c r="E92" s="7" t="s">
        <v>445</v>
      </c>
      <c r="F92" s="7">
        <v>0.145</v>
      </c>
      <c r="G92" s="7">
        <v>0.145</v>
      </c>
      <c r="H92" s="7" t="s">
        <v>585</v>
      </c>
      <c r="I92" s="7" t="s">
        <v>71</v>
      </c>
      <c r="J92" s="7" t="s">
        <v>586</v>
      </c>
      <c r="K92" s="8">
        <f>F92*1.06</f>
      </c>
      <c r="L92" s="9">
        <v>69.27</v>
      </c>
      <c r="M92" s="10">
        <v>231</v>
      </c>
      <c r="N92" s="10">
        <v>377</v>
      </c>
      <c r="O92" s="11">
        <f>IFERROR((N92-M92)*K92,0)</f>
      </c>
      <c r="P92" s="23" t="s">
        <v>85</v>
      </c>
      <c r="Q92" s="23" t="s">
        <v>85</v>
      </c>
      <c r="R92" s="23" t="s">
        <v>85</v>
      </c>
      <c r="S92" s="23" t="s">
        <v>85</v>
      </c>
      <c r="T92" s="8">
        <v>0</v>
      </c>
      <c r="U92" s="12">
        <f>ROUND(L92+O92-T92,2)</f>
      </c>
      <c r="V92" s="13">
        <v>0</v>
      </c>
      <c r="W92" s="14">
        <f>(U92-L92)*V92/100000</f>
      </c>
    </row>
    <row r="93" spans="1:23" x14ac:dyDescent="0.25">
      <c r="A93" s="25" t="s">
        <v>122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6">
        <f>SUM(V4:V92)</f>
      </c>
      <c r="W93" s="27">
        <f>SUM(W4:W92)</f>
      </c>
    </row>
  </sheetData>
  <autoFilter ref="A3:W92"/>
  <mergeCells count="3">
    <mergeCell ref="A1:W1"/>
    <mergeCell ref="A2:D2"/>
    <mergeCell ref="A93:U9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9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587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W93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421</v>
      </c>
      <c r="D4" s="7" t="s">
        <v>422</v>
      </c>
      <c r="E4" s="7" t="s">
        <v>423</v>
      </c>
      <c r="F4" s="7">
        <v>0.046</v>
      </c>
      <c r="G4" s="7">
        <v>0.045</v>
      </c>
      <c r="H4" s="7" t="s">
        <v>37</v>
      </c>
      <c r="I4" s="7" t="s">
        <v>38</v>
      </c>
      <c r="J4" s="7" t="s">
        <v>424</v>
      </c>
      <c r="K4" s="8">
        <f>F4*1.06</f>
      </c>
      <c r="L4" s="9">
        <v>38.05</v>
      </c>
      <c r="M4" s="28">
        <v>369</v>
      </c>
      <c r="N4" s="28"/>
      <c r="O4" s="29">
        <f>IFERROR((N4-M4)*K4,0)</f>
      </c>
      <c r="P4" s="28">
        <v>237.76569037656904</v>
      </c>
      <c r="Q4" s="28">
        <v>369</v>
      </c>
      <c r="R4" s="28"/>
      <c r="S4" s="30">
        <f>IFERROR((P4/Q4)*R4,0)</f>
      </c>
      <c r="T4" s="30">
        <f>IFERROR((S4-P4)*((F4-G4)*0.8),0)</f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421</v>
      </c>
      <c r="D5" s="15" t="s">
        <v>425</v>
      </c>
      <c r="E5" s="15" t="s">
        <v>426</v>
      </c>
      <c r="F5" s="15">
        <v>0.047</v>
      </c>
      <c r="G5" s="15">
        <v>0.042</v>
      </c>
      <c r="H5" s="15" t="s">
        <v>37</v>
      </c>
      <c r="I5" s="15" t="s">
        <v>38</v>
      </c>
      <c r="J5" s="15" t="s">
        <v>427</v>
      </c>
      <c r="K5" s="16">
        <f>F5*1.06</f>
      </c>
      <c r="L5" s="17">
        <v>37.79</v>
      </c>
      <c r="M5" s="32">
        <v>369</v>
      </c>
      <c r="N5" s="32"/>
      <c r="O5" s="33">
        <f>IFERROR((N5-M5)*K5,0)</f>
      </c>
      <c r="P5" s="32">
        <v>237.76569037656904</v>
      </c>
      <c r="Q5" s="32">
        <v>369</v>
      </c>
      <c r="R5" s="32"/>
      <c r="S5" s="34">
        <f>IFERROR((P5/Q5)*R5,0)</f>
      </c>
      <c r="T5" s="34">
        <f>IFERROR((S5-P5)*((F5-G5)*0.8),0)</f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421</v>
      </c>
      <c r="D6" s="7" t="s">
        <v>428</v>
      </c>
      <c r="E6" s="7" t="s">
        <v>429</v>
      </c>
      <c r="F6" s="7">
        <v>0.535</v>
      </c>
      <c r="G6" s="7">
        <v>0.468</v>
      </c>
      <c r="H6" s="7" t="s">
        <v>37</v>
      </c>
      <c r="I6" s="7" t="s">
        <v>71</v>
      </c>
      <c r="J6" s="7" t="s">
        <v>430</v>
      </c>
      <c r="K6" s="8">
        <f>F6*1.06</f>
      </c>
      <c r="L6" s="9">
        <v>340.99</v>
      </c>
      <c r="M6" s="28">
        <v>377</v>
      </c>
      <c r="N6" s="28"/>
      <c r="O6" s="29">
        <f>IFERROR((N6-M6)*K6,0)</f>
      </c>
      <c r="P6" s="28">
        <v>237.76569037656904</v>
      </c>
      <c r="Q6" s="28">
        <v>369</v>
      </c>
      <c r="R6" s="28"/>
      <c r="S6" s="30">
        <f>IFERROR((P6/Q6)*R6,0)</f>
      </c>
      <c r="T6" s="30">
        <f>IFERROR((S6-P6)*((F6-G6)*0.8),0)</f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421</v>
      </c>
      <c r="D7" s="15" t="s">
        <v>431</v>
      </c>
      <c r="E7" s="15" t="s">
        <v>432</v>
      </c>
      <c r="F7" s="15">
        <v>0.715</v>
      </c>
      <c r="G7" s="15">
        <v>0.677</v>
      </c>
      <c r="H7" s="15" t="s">
        <v>37</v>
      </c>
      <c r="I7" s="15" t="s">
        <v>38</v>
      </c>
      <c r="J7" s="15" t="s">
        <v>433</v>
      </c>
      <c r="K7" s="16">
        <f>F7*1.06</f>
      </c>
      <c r="L7" s="17">
        <v>377.81</v>
      </c>
      <c r="M7" s="32">
        <v>369</v>
      </c>
      <c r="N7" s="32"/>
      <c r="O7" s="33">
        <f>IFERROR((N7-M7)*K7,0)</f>
      </c>
      <c r="P7" s="32">
        <v>237.76569037656904</v>
      </c>
      <c r="Q7" s="32">
        <v>369</v>
      </c>
      <c r="R7" s="32"/>
      <c r="S7" s="34">
        <f>IFERROR((P7/Q7)*R7,0)</f>
      </c>
      <c r="T7" s="34">
        <f>IFERROR((S7-P7)*((F7-G7)*0.8),0)</f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421</v>
      </c>
      <c r="D8" s="7" t="s">
        <v>434</v>
      </c>
      <c r="E8" s="7" t="s">
        <v>435</v>
      </c>
      <c r="F8" s="7">
        <v>0.455</v>
      </c>
      <c r="G8" s="7">
        <v>0.412</v>
      </c>
      <c r="H8" s="7" t="s">
        <v>37</v>
      </c>
      <c r="I8" s="7" t="s">
        <v>38</v>
      </c>
      <c r="J8" s="7" t="s">
        <v>436</v>
      </c>
      <c r="K8" s="8">
        <f>F8*1.06</f>
      </c>
      <c r="L8" s="9">
        <v>315.01</v>
      </c>
      <c r="M8" s="28">
        <v>369</v>
      </c>
      <c r="N8" s="28"/>
      <c r="O8" s="29">
        <f>IFERROR((N8-M8)*K8,0)</f>
      </c>
      <c r="P8" s="28">
        <v>237.76569037656904</v>
      </c>
      <c r="Q8" s="28">
        <v>369</v>
      </c>
      <c r="R8" s="28"/>
      <c r="S8" s="30">
        <f>IFERROR((P8/Q8)*R8,0)</f>
      </c>
      <c r="T8" s="30">
        <f>IFERROR((S8-P8)*((F8-G8)*0.8),0)</f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421</v>
      </c>
      <c r="D9" s="15" t="s">
        <v>342</v>
      </c>
      <c r="E9" s="15" t="s">
        <v>343</v>
      </c>
      <c r="F9" s="15">
        <v>0.193</v>
      </c>
      <c r="G9" s="15">
        <v>0.169</v>
      </c>
      <c r="H9" s="15" t="s">
        <v>37</v>
      </c>
      <c r="I9" s="15" t="s">
        <v>71</v>
      </c>
      <c r="J9" s="15" t="s">
        <v>437</v>
      </c>
      <c r="K9" s="16">
        <f>F9*1.06</f>
      </c>
      <c r="L9" s="17">
        <v>126.94</v>
      </c>
      <c r="M9" s="32">
        <v>377</v>
      </c>
      <c r="N9" s="32"/>
      <c r="O9" s="33">
        <f>IFERROR((N9-M9)*K9,0)</f>
      </c>
      <c r="P9" s="32">
        <v>237.76569037656904</v>
      </c>
      <c r="Q9" s="32">
        <v>369</v>
      </c>
      <c r="R9" s="32"/>
      <c r="S9" s="34">
        <f>IFERROR((P9/Q9)*R9,0)</f>
      </c>
      <c r="T9" s="34">
        <f>IFERROR((S9-P9)*((F9-G9)*0.8),0)</f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421</v>
      </c>
      <c r="D10" s="7" t="s">
        <v>438</v>
      </c>
      <c r="E10" s="7" t="s">
        <v>439</v>
      </c>
      <c r="F10" s="7">
        <v>0.133</v>
      </c>
      <c r="G10" s="7">
        <v>0.119</v>
      </c>
      <c r="H10" s="7" t="s">
        <v>37</v>
      </c>
      <c r="I10" s="7" t="s">
        <v>38</v>
      </c>
      <c r="J10" s="7" t="s">
        <v>440</v>
      </c>
      <c r="K10" s="8">
        <f>F10*1.06</f>
      </c>
      <c r="L10" s="9">
        <v>92.77</v>
      </c>
      <c r="M10" s="28">
        <v>369</v>
      </c>
      <c r="N10" s="28"/>
      <c r="O10" s="29">
        <f>IFERROR((N10-M10)*K10,0)</f>
      </c>
      <c r="P10" s="28">
        <v>237.76569037656904</v>
      </c>
      <c r="Q10" s="28">
        <v>369</v>
      </c>
      <c r="R10" s="28"/>
      <c r="S10" s="30">
        <f>IFERROR((P10/Q10)*R10,0)</f>
      </c>
      <c r="T10" s="30">
        <f>IFERROR((S10-P10)*((F10-G10)*0.8),0)</f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421</v>
      </c>
      <c r="D11" s="15" t="s">
        <v>441</v>
      </c>
      <c r="E11" s="15" t="s">
        <v>442</v>
      </c>
      <c r="F11" s="15">
        <v>0.17</v>
      </c>
      <c r="G11" s="15">
        <v>0.15</v>
      </c>
      <c r="H11" s="15" t="s">
        <v>37</v>
      </c>
      <c r="I11" s="15" t="s">
        <v>38</v>
      </c>
      <c r="J11" s="15" t="s">
        <v>443</v>
      </c>
      <c r="K11" s="16">
        <f>F11*1.06</f>
      </c>
      <c r="L11" s="17">
        <v>109.43</v>
      </c>
      <c r="M11" s="32">
        <v>369</v>
      </c>
      <c r="N11" s="32"/>
      <c r="O11" s="33">
        <f>IFERROR((N11-M11)*K11,0)</f>
      </c>
      <c r="P11" s="32">
        <v>237.76569037656904</v>
      </c>
      <c r="Q11" s="32">
        <v>369</v>
      </c>
      <c r="R11" s="32"/>
      <c r="S11" s="34">
        <f>IFERROR((P11/Q11)*R11,0)</f>
      </c>
      <c r="T11" s="34">
        <f>IFERROR((S11-P11)*((F11-G11)*0.8),0)</f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421</v>
      </c>
      <c r="D12" s="7" t="s">
        <v>444</v>
      </c>
      <c r="E12" s="7" t="s">
        <v>445</v>
      </c>
      <c r="F12" s="7">
        <v>0.145</v>
      </c>
      <c r="G12" s="7">
        <v>0.145</v>
      </c>
      <c r="H12" s="7" t="s">
        <v>37</v>
      </c>
      <c r="I12" s="7" t="s">
        <v>71</v>
      </c>
      <c r="J12" s="7" t="s">
        <v>446</v>
      </c>
      <c r="K12" s="8">
        <f>F12*1.06</f>
      </c>
      <c r="L12" s="9">
        <v>91.64</v>
      </c>
      <c r="M12" s="28">
        <v>377</v>
      </c>
      <c r="N12" s="28"/>
      <c r="O12" s="29">
        <f>IFERROR((N12-M12)*K12,0)</f>
      </c>
      <c r="P12" s="36" t="s">
        <v>85</v>
      </c>
      <c r="Q12" s="36" t="s">
        <v>85</v>
      </c>
      <c r="R12" s="36" t="s">
        <v>85</v>
      </c>
      <c r="S12" s="36" t="s">
        <v>85</v>
      </c>
      <c r="T12" s="30">
        <v>0</v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421</v>
      </c>
      <c r="D13" s="15" t="s">
        <v>447</v>
      </c>
      <c r="E13" s="15" t="s">
        <v>448</v>
      </c>
      <c r="F13" s="15">
        <v>0.213</v>
      </c>
      <c r="G13" s="15">
        <v>0.198</v>
      </c>
      <c r="H13" s="15" t="s">
        <v>37</v>
      </c>
      <c r="I13" s="15" t="s">
        <v>71</v>
      </c>
      <c r="J13" s="15" t="s">
        <v>449</v>
      </c>
      <c r="K13" s="16">
        <f>F13*1.06</f>
      </c>
      <c r="L13" s="17">
        <v>140.1</v>
      </c>
      <c r="M13" s="32">
        <v>377</v>
      </c>
      <c r="N13" s="32"/>
      <c r="O13" s="33">
        <f>IFERROR((N13-M13)*K13,0)</f>
      </c>
      <c r="P13" s="32">
        <v>237.76569037656904</v>
      </c>
      <c r="Q13" s="32">
        <v>369</v>
      </c>
      <c r="R13" s="32"/>
      <c r="S13" s="34">
        <f>IFERROR((P13/Q13)*R13,0)</f>
      </c>
      <c r="T13" s="34">
        <f>IFERROR((S13-P13)*((F13-G13)*0.8),0)</f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421</v>
      </c>
      <c r="D14" s="7" t="s">
        <v>450</v>
      </c>
      <c r="E14" s="7" t="s">
        <v>451</v>
      </c>
      <c r="F14" s="7">
        <v>0.528</v>
      </c>
      <c r="G14" s="7">
        <v>0.465</v>
      </c>
      <c r="H14" s="7" t="s">
        <v>37</v>
      </c>
      <c r="I14" s="7" t="s">
        <v>71</v>
      </c>
      <c r="J14" s="7" t="s">
        <v>452</v>
      </c>
      <c r="K14" s="8">
        <f>F14*1.06</f>
      </c>
      <c r="L14" s="9">
        <v>334.75</v>
      </c>
      <c r="M14" s="28">
        <v>377</v>
      </c>
      <c r="N14" s="28"/>
      <c r="O14" s="29">
        <f>IFERROR((N14-M14)*K14,0)</f>
      </c>
      <c r="P14" s="28">
        <v>237.76569037656904</v>
      </c>
      <c r="Q14" s="28">
        <v>369</v>
      </c>
      <c r="R14" s="28"/>
      <c r="S14" s="30">
        <f>IFERROR((P14/Q14)*R14,0)</f>
      </c>
      <c r="T14" s="30">
        <f>IFERROR((S14-P14)*((F14-G14)*0.8),0)</f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421</v>
      </c>
      <c r="D15" s="15" t="s">
        <v>244</v>
      </c>
      <c r="E15" s="15" t="s">
        <v>242</v>
      </c>
      <c r="F15" s="15">
        <v>0.304</v>
      </c>
      <c r="G15" s="15">
        <v>0.264</v>
      </c>
      <c r="H15" s="15" t="s">
        <v>37</v>
      </c>
      <c r="I15" s="15" t="s">
        <v>71</v>
      </c>
      <c r="J15" s="15" t="s">
        <v>453</v>
      </c>
      <c r="K15" s="16">
        <f>F15*1.06</f>
      </c>
      <c r="L15" s="17">
        <v>196.84</v>
      </c>
      <c r="M15" s="32">
        <v>377</v>
      </c>
      <c r="N15" s="32"/>
      <c r="O15" s="33">
        <f>IFERROR((N15-M15)*K15,0)</f>
      </c>
      <c r="P15" s="32">
        <v>237.76569037656904</v>
      </c>
      <c r="Q15" s="32">
        <v>369</v>
      </c>
      <c r="R15" s="32"/>
      <c r="S15" s="34">
        <f>IFERROR((P15/Q15)*R15,0)</f>
      </c>
      <c r="T15" s="34">
        <f>IFERROR((S15-P15)*((F15-G15)*0.8),0)</f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421</v>
      </c>
      <c r="D16" s="7" t="s">
        <v>246</v>
      </c>
      <c r="E16" s="7" t="s">
        <v>242</v>
      </c>
      <c r="F16" s="7">
        <v>0.287</v>
      </c>
      <c r="G16" s="7">
        <v>0.252</v>
      </c>
      <c r="H16" s="7" t="s">
        <v>37</v>
      </c>
      <c r="I16" s="7" t="s">
        <v>71</v>
      </c>
      <c r="J16" s="7" t="s">
        <v>454</v>
      </c>
      <c r="K16" s="8">
        <f>F16*1.06</f>
      </c>
      <c r="L16" s="9">
        <v>194.6</v>
      </c>
      <c r="M16" s="28">
        <v>377</v>
      </c>
      <c r="N16" s="28"/>
      <c r="O16" s="29">
        <f>IFERROR((N16-M16)*K16,0)</f>
      </c>
      <c r="P16" s="28">
        <v>237.76569037656904</v>
      </c>
      <c r="Q16" s="28">
        <v>369</v>
      </c>
      <c r="R16" s="28"/>
      <c r="S16" s="30">
        <f>IFERROR((P16/Q16)*R16,0)</f>
      </c>
      <c r="T16" s="30">
        <f>IFERROR((S16-P16)*((F16-G16)*0.8),0)</f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421</v>
      </c>
      <c r="D17" s="15" t="s">
        <v>455</v>
      </c>
      <c r="E17" s="15" t="s">
        <v>456</v>
      </c>
      <c r="F17" s="15">
        <v>0.528</v>
      </c>
      <c r="G17" s="15">
        <v>0.465</v>
      </c>
      <c r="H17" s="15" t="s">
        <v>37</v>
      </c>
      <c r="I17" s="15" t="s">
        <v>71</v>
      </c>
      <c r="J17" s="15" t="s">
        <v>457</v>
      </c>
      <c r="K17" s="16">
        <f>F17*1.06</f>
      </c>
      <c r="L17" s="17">
        <v>334.59</v>
      </c>
      <c r="M17" s="32">
        <v>377</v>
      </c>
      <c r="N17" s="32"/>
      <c r="O17" s="33">
        <f>IFERROR((N17-M17)*K17,0)</f>
      </c>
      <c r="P17" s="32">
        <v>237.76569037656904</v>
      </c>
      <c r="Q17" s="32">
        <v>369</v>
      </c>
      <c r="R17" s="32"/>
      <c r="S17" s="34">
        <f>IFERROR((P17/Q17)*R17,0)</f>
      </c>
      <c r="T17" s="34">
        <f>IFERROR((S17-P17)*((F17-G17)*0.8),0)</f>
      </c>
      <c r="U17" s="35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421</v>
      </c>
      <c r="D18" s="7" t="s">
        <v>241</v>
      </c>
      <c r="E18" s="7" t="s">
        <v>242</v>
      </c>
      <c r="F18" s="7">
        <v>0.3</v>
      </c>
      <c r="G18" s="7">
        <v>0.24</v>
      </c>
      <c r="H18" s="7" t="s">
        <v>37</v>
      </c>
      <c r="I18" s="7" t="s">
        <v>71</v>
      </c>
      <c r="J18" s="7" t="s">
        <v>458</v>
      </c>
      <c r="K18" s="8">
        <f>F18*1.06</f>
      </c>
      <c r="L18" s="9">
        <v>195.52</v>
      </c>
      <c r="M18" s="28">
        <v>377</v>
      </c>
      <c r="N18" s="28"/>
      <c r="O18" s="29">
        <f>IFERROR((N18-M18)*K18,0)</f>
      </c>
      <c r="P18" s="28">
        <v>237.76569037656904</v>
      </c>
      <c r="Q18" s="28">
        <v>369</v>
      </c>
      <c r="R18" s="28"/>
      <c r="S18" s="30">
        <f>IFERROR((P18/Q18)*R18,0)</f>
      </c>
      <c r="T18" s="30">
        <f>IFERROR((S18-P18)*((F18-G18)*0.8),0)</f>
      </c>
      <c r="U18" s="31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421</v>
      </c>
      <c r="D19" s="15" t="s">
        <v>459</v>
      </c>
      <c r="E19" s="15" t="s">
        <v>460</v>
      </c>
      <c r="F19" s="15">
        <v>1.052</v>
      </c>
      <c r="G19" s="15">
        <v>1.032</v>
      </c>
      <c r="H19" s="15" t="s">
        <v>37</v>
      </c>
      <c r="I19" s="15" t="s">
        <v>71</v>
      </c>
      <c r="J19" s="15" t="s">
        <v>461</v>
      </c>
      <c r="K19" s="16">
        <f>F19*1.06</f>
      </c>
      <c r="L19" s="17">
        <v>529.43</v>
      </c>
      <c r="M19" s="32">
        <v>377</v>
      </c>
      <c r="N19" s="32"/>
      <c r="O19" s="33">
        <f>IFERROR((N19-M19)*K19,0)</f>
      </c>
      <c r="P19" s="32">
        <v>237.76569037656904</v>
      </c>
      <c r="Q19" s="32">
        <v>369</v>
      </c>
      <c r="R19" s="32"/>
      <c r="S19" s="34">
        <f>IFERROR((P19/Q19)*R19,0)</f>
      </c>
      <c r="T19" s="34">
        <f>IFERROR((S19-P19)*((F19-G19)*0.8),0)</f>
      </c>
      <c r="U19" s="35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421</v>
      </c>
      <c r="D20" s="7" t="s">
        <v>462</v>
      </c>
      <c r="E20" s="7" t="s">
        <v>463</v>
      </c>
      <c r="F20" s="7">
        <v>0.111</v>
      </c>
      <c r="G20" s="7">
        <v>0.006</v>
      </c>
      <c r="H20" s="7" t="s">
        <v>37</v>
      </c>
      <c r="I20" s="7" t="s">
        <v>71</v>
      </c>
      <c r="J20" s="7" t="s">
        <v>464</v>
      </c>
      <c r="K20" s="8">
        <f>F20*1.06</f>
      </c>
      <c r="L20" s="9">
        <v>63.41</v>
      </c>
      <c r="M20" s="28">
        <v>377</v>
      </c>
      <c r="N20" s="28"/>
      <c r="O20" s="29">
        <f>IFERROR((N20-M20)*K20,0)</f>
      </c>
      <c r="P20" s="28">
        <v>237.76569037656904</v>
      </c>
      <c r="Q20" s="28">
        <v>369</v>
      </c>
      <c r="R20" s="28"/>
      <c r="S20" s="30">
        <f>IFERROR((P20/Q20)*R20,0)</f>
      </c>
      <c r="T20" s="30">
        <f>IFERROR((S20-P20)*((F20-G20)*0.8),0)</f>
      </c>
      <c r="U20" s="31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421</v>
      </c>
      <c r="D21" s="15" t="s">
        <v>465</v>
      </c>
      <c r="E21" s="15" t="s">
        <v>466</v>
      </c>
      <c r="F21" s="15">
        <v>1.022</v>
      </c>
      <c r="G21" s="15">
        <v>1.022</v>
      </c>
      <c r="H21" s="15" t="s">
        <v>37</v>
      </c>
      <c r="I21" s="15" t="s">
        <v>38</v>
      </c>
      <c r="J21" s="15" t="s">
        <v>467</v>
      </c>
      <c r="K21" s="16">
        <f>F21*1.06</f>
      </c>
      <c r="L21" s="17">
        <v>488.83</v>
      </c>
      <c r="M21" s="32">
        <v>369</v>
      </c>
      <c r="N21" s="32"/>
      <c r="O21" s="33">
        <f>IFERROR((N21-M21)*K21,0)</f>
      </c>
      <c r="P21" s="37" t="s">
        <v>85</v>
      </c>
      <c r="Q21" s="37" t="s">
        <v>85</v>
      </c>
      <c r="R21" s="37" t="s">
        <v>85</v>
      </c>
      <c r="S21" s="37" t="s">
        <v>85</v>
      </c>
      <c r="T21" s="34">
        <v>0</v>
      </c>
      <c r="U21" s="35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421</v>
      </c>
      <c r="D22" s="7" t="s">
        <v>468</v>
      </c>
      <c r="E22" s="7" t="s">
        <v>451</v>
      </c>
      <c r="F22" s="7">
        <v>0.518</v>
      </c>
      <c r="G22" s="7">
        <v>0.47</v>
      </c>
      <c r="H22" s="7" t="s">
        <v>37</v>
      </c>
      <c r="I22" s="7" t="s">
        <v>71</v>
      </c>
      <c r="J22" s="7" t="s">
        <v>469</v>
      </c>
      <c r="K22" s="8">
        <f>F22*1.06</f>
      </c>
      <c r="L22" s="9">
        <v>328.61</v>
      </c>
      <c r="M22" s="28">
        <v>377</v>
      </c>
      <c r="N22" s="28"/>
      <c r="O22" s="29">
        <f>IFERROR((N22-M22)*K22,0)</f>
      </c>
      <c r="P22" s="28">
        <v>237.76569037656904</v>
      </c>
      <c r="Q22" s="28">
        <v>369</v>
      </c>
      <c r="R22" s="28"/>
      <c r="S22" s="30">
        <f>IFERROR((P22/Q22)*R22,0)</f>
      </c>
      <c r="T22" s="30">
        <f>IFERROR((S22-P22)*((F22-G22)*0.8),0)</f>
      </c>
      <c r="U22" s="31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421</v>
      </c>
      <c r="D23" s="15" t="s">
        <v>470</v>
      </c>
      <c r="E23" s="15" t="s">
        <v>471</v>
      </c>
      <c r="F23" s="15">
        <v>0.313</v>
      </c>
      <c r="G23" s="15">
        <v>0.313</v>
      </c>
      <c r="H23" s="15" t="s">
        <v>37</v>
      </c>
      <c r="I23" s="15" t="s">
        <v>38</v>
      </c>
      <c r="J23" s="15" t="s">
        <v>472</v>
      </c>
      <c r="K23" s="16">
        <f>F23*1.06</f>
      </c>
      <c r="L23" s="17">
        <v>190.22</v>
      </c>
      <c r="M23" s="32">
        <v>369</v>
      </c>
      <c r="N23" s="32"/>
      <c r="O23" s="33">
        <f>IFERROR((N23-M23)*K23,0)</f>
      </c>
      <c r="P23" s="37" t="s">
        <v>85</v>
      </c>
      <c r="Q23" s="37" t="s">
        <v>85</v>
      </c>
      <c r="R23" s="37" t="s">
        <v>85</v>
      </c>
      <c r="S23" s="37" t="s">
        <v>85</v>
      </c>
      <c r="T23" s="34">
        <v>0</v>
      </c>
      <c r="U23" s="35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421</v>
      </c>
      <c r="D24" s="7" t="s">
        <v>473</v>
      </c>
      <c r="E24" s="7" t="s">
        <v>474</v>
      </c>
      <c r="F24" s="7">
        <v>0.178</v>
      </c>
      <c r="G24" s="7">
        <v>0.159</v>
      </c>
      <c r="H24" s="7" t="s">
        <v>37</v>
      </c>
      <c r="I24" s="7" t="s">
        <v>71</v>
      </c>
      <c r="J24" s="7" t="s">
        <v>475</v>
      </c>
      <c r="K24" s="8">
        <f>F24*1.06</f>
      </c>
      <c r="L24" s="9">
        <v>121.96</v>
      </c>
      <c r="M24" s="28">
        <v>377</v>
      </c>
      <c r="N24" s="28"/>
      <c r="O24" s="29">
        <f>IFERROR((N24-M24)*K24,0)</f>
      </c>
      <c r="P24" s="28">
        <v>237.76569037656904</v>
      </c>
      <c r="Q24" s="28">
        <v>369</v>
      </c>
      <c r="R24" s="28"/>
      <c r="S24" s="30">
        <f>IFERROR((P24/Q24)*R24,0)</f>
      </c>
      <c r="T24" s="30">
        <f>IFERROR((S24-P24)*((F24-G24)*0.8),0)</f>
      </c>
      <c r="U24" s="31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421</v>
      </c>
      <c r="D25" s="15" t="s">
        <v>340</v>
      </c>
      <c r="E25" s="15" t="s">
        <v>242</v>
      </c>
      <c r="F25" s="15">
        <v>0.287</v>
      </c>
      <c r="G25" s="15">
        <v>0.247</v>
      </c>
      <c r="H25" s="15" t="s">
        <v>37</v>
      </c>
      <c r="I25" s="15" t="s">
        <v>71</v>
      </c>
      <c r="J25" s="15" t="s">
        <v>476</v>
      </c>
      <c r="K25" s="16">
        <f>F25*1.06</f>
      </c>
      <c r="L25" s="17">
        <v>194.26</v>
      </c>
      <c r="M25" s="32">
        <v>377</v>
      </c>
      <c r="N25" s="32"/>
      <c r="O25" s="33">
        <f>IFERROR((N25-M25)*K25,0)</f>
      </c>
      <c r="P25" s="32">
        <v>237.76569037656904</v>
      </c>
      <c r="Q25" s="32">
        <v>369</v>
      </c>
      <c r="R25" s="32"/>
      <c r="S25" s="34">
        <f>IFERROR((P25/Q25)*R25,0)</f>
      </c>
      <c r="T25" s="34">
        <f>IFERROR((S25-P25)*((F25-G25)*0.8),0)</f>
      </c>
      <c r="U25" s="35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421</v>
      </c>
      <c r="D26" s="7" t="s">
        <v>327</v>
      </c>
      <c r="E26" s="7" t="s">
        <v>477</v>
      </c>
      <c r="F26" s="7">
        <v>0.435</v>
      </c>
      <c r="G26" s="7">
        <v>0.375</v>
      </c>
      <c r="H26" s="7" t="s">
        <v>37</v>
      </c>
      <c r="I26" s="7" t="s">
        <v>71</v>
      </c>
      <c r="J26" s="7" t="s">
        <v>478</v>
      </c>
      <c r="K26" s="8">
        <f>F26*1.06</f>
      </c>
      <c r="L26" s="9">
        <v>280.65</v>
      </c>
      <c r="M26" s="28">
        <v>377</v>
      </c>
      <c r="N26" s="28"/>
      <c r="O26" s="29">
        <f>IFERROR((N26-M26)*K26,0)</f>
      </c>
      <c r="P26" s="28">
        <v>237.76569037656904</v>
      </c>
      <c r="Q26" s="28">
        <v>369</v>
      </c>
      <c r="R26" s="28"/>
      <c r="S26" s="30">
        <f>IFERROR((P26/Q26)*R26,0)</f>
      </c>
      <c r="T26" s="30">
        <f>IFERROR((S26-P26)*((F26-G26)*0.8),0)</f>
      </c>
      <c r="U26" s="31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421</v>
      </c>
      <c r="D27" s="15" t="s">
        <v>316</v>
      </c>
      <c r="E27" s="15" t="s">
        <v>477</v>
      </c>
      <c r="F27" s="15">
        <v>0.435</v>
      </c>
      <c r="G27" s="15">
        <v>0.377</v>
      </c>
      <c r="H27" s="15" t="s">
        <v>37</v>
      </c>
      <c r="I27" s="15" t="s">
        <v>71</v>
      </c>
      <c r="J27" s="15" t="s">
        <v>479</v>
      </c>
      <c r="K27" s="16">
        <f>F27*1.06</f>
      </c>
      <c r="L27" s="17">
        <v>280.78</v>
      </c>
      <c r="M27" s="32">
        <v>377</v>
      </c>
      <c r="N27" s="32"/>
      <c r="O27" s="33">
        <f>IFERROR((N27-M27)*K27,0)</f>
      </c>
      <c r="P27" s="32">
        <v>237.76569037656904</v>
      </c>
      <c r="Q27" s="32">
        <v>369</v>
      </c>
      <c r="R27" s="32"/>
      <c r="S27" s="34">
        <f>IFERROR((P27/Q27)*R27,0)</f>
      </c>
      <c r="T27" s="34">
        <f>IFERROR((S27-P27)*((F27-G27)*0.8),0)</f>
      </c>
      <c r="U27" s="35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421</v>
      </c>
      <c r="D28" s="7" t="s">
        <v>480</v>
      </c>
      <c r="E28" s="7" t="s">
        <v>294</v>
      </c>
      <c r="F28" s="7">
        <v>0.518</v>
      </c>
      <c r="G28" s="7">
        <v>0.518</v>
      </c>
      <c r="H28" s="7" t="s">
        <v>37</v>
      </c>
      <c r="I28" s="7" t="s">
        <v>71</v>
      </c>
      <c r="J28" s="7" t="s">
        <v>481</v>
      </c>
      <c r="K28" s="8">
        <f>F28*1.06</f>
      </c>
      <c r="L28" s="9">
        <v>343.04</v>
      </c>
      <c r="M28" s="28">
        <v>377</v>
      </c>
      <c r="N28" s="28"/>
      <c r="O28" s="29">
        <f>IFERROR((N28-M28)*K28,0)</f>
      </c>
      <c r="P28" s="36" t="s">
        <v>85</v>
      </c>
      <c r="Q28" s="36" t="s">
        <v>85</v>
      </c>
      <c r="R28" s="36" t="s">
        <v>85</v>
      </c>
      <c r="S28" s="36" t="s">
        <v>85</v>
      </c>
      <c r="T28" s="30">
        <v>0</v>
      </c>
      <c r="U28" s="31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421</v>
      </c>
      <c r="D29" s="15" t="s">
        <v>482</v>
      </c>
      <c r="E29" s="15" t="s">
        <v>82</v>
      </c>
      <c r="F29" s="15">
        <v>0.518</v>
      </c>
      <c r="G29" s="15">
        <v>0.458</v>
      </c>
      <c r="H29" s="15" t="s">
        <v>37</v>
      </c>
      <c r="I29" s="15" t="s">
        <v>71</v>
      </c>
      <c r="J29" s="15" t="s">
        <v>483</v>
      </c>
      <c r="K29" s="16">
        <f>F29*1.06</f>
      </c>
      <c r="L29" s="17">
        <v>338.32</v>
      </c>
      <c r="M29" s="32">
        <v>377</v>
      </c>
      <c r="N29" s="32"/>
      <c r="O29" s="33">
        <f>IFERROR((N29-M29)*K29,0)</f>
      </c>
      <c r="P29" s="32">
        <v>237.76569037656904</v>
      </c>
      <c r="Q29" s="32">
        <v>369</v>
      </c>
      <c r="R29" s="32"/>
      <c r="S29" s="34">
        <f>IFERROR((P29/Q29)*R29,0)</f>
      </c>
      <c r="T29" s="34">
        <f>IFERROR((S29-P29)*((F29-G29)*0.8),0)</f>
      </c>
      <c r="U29" s="35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421</v>
      </c>
      <c r="D30" s="7" t="s">
        <v>131</v>
      </c>
      <c r="E30" s="7" t="s">
        <v>484</v>
      </c>
      <c r="F30" s="7">
        <v>1.22</v>
      </c>
      <c r="G30" s="7">
        <v>1.182</v>
      </c>
      <c r="H30" s="7" t="s">
        <v>37</v>
      </c>
      <c r="I30" s="7" t="s">
        <v>38</v>
      </c>
      <c r="J30" s="7" t="s">
        <v>485</v>
      </c>
      <c r="K30" s="8">
        <f>F30*1.06</f>
      </c>
      <c r="L30" s="9">
        <v>634.62</v>
      </c>
      <c r="M30" s="28">
        <v>369</v>
      </c>
      <c r="N30" s="28"/>
      <c r="O30" s="29">
        <f>IFERROR((N30-M30)*K30,0)</f>
      </c>
      <c r="P30" s="28">
        <v>237.76569037656904</v>
      </c>
      <c r="Q30" s="28">
        <v>369</v>
      </c>
      <c r="R30" s="28"/>
      <c r="S30" s="30">
        <f>IFERROR((P30/Q30)*R30,0)</f>
      </c>
      <c r="T30" s="30">
        <f>IFERROR((S30-P30)*((F30-G30)*0.8),0)</f>
      </c>
      <c r="U30" s="31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421</v>
      </c>
      <c r="D31" s="15" t="s">
        <v>486</v>
      </c>
      <c r="E31" s="15" t="s">
        <v>82</v>
      </c>
      <c r="F31" s="15">
        <v>0.412</v>
      </c>
      <c r="G31" s="15">
        <v>0.39</v>
      </c>
      <c r="H31" s="15" t="s">
        <v>37</v>
      </c>
      <c r="I31" s="15" t="s">
        <v>38</v>
      </c>
      <c r="J31" s="15" t="s">
        <v>487</v>
      </c>
      <c r="K31" s="16">
        <f>F31*1.06</f>
      </c>
      <c r="L31" s="17">
        <v>272.4</v>
      </c>
      <c r="M31" s="32">
        <v>369</v>
      </c>
      <c r="N31" s="32"/>
      <c r="O31" s="33">
        <f>IFERROR((N31-M31)*K31,0)</f>
      </c>
      <c r="P31" s="32">
        <v>237.76569037656904</v>
      </c>
      <c r="Q31" s="32">
        <v>369</v>
      </c>
      <c r="R31" s="32"/>
      <c r="S31" s="34">
        <f>IFERROR((P31/Q31)*R31,0)</f>
      </c>
      <c r="T31" s="34">
        <f>IFERROR((S31-P31)*((F31-G31)*0.8),0)</f>
      </c>
      <c r="U31" s="35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421</v>
      </c>
      <c r="D32" s="7" t="s">
        <v>488</v>
      </c>
      <c r="E32" s="7" t="s">
        <v>82</v>
      </c>
      <c r="F32" s="7">
        <v>0.382</v>
      </c>
      <c r="G32" s="7">
        <v>0.382</v>
      </c>
      <c r="H32" s="7" t="s">
        <v>37</v>
      </c>
      <c r="I32" s="7" t="s">
        <v>38</v>
      </c>
      <c r="J32" s="7" t="s">
        <v>489</v>
      </c>
      <c r="K32" s="8">
        <f>F32*1.06</f>
      </c>
      <c r="L32" s="9">
        <v>302.86</v>
      </c>
      <c r="M32" s="28">
        <v>369</v>
      </c>
      <c r="N32" s="28"/>
      <c r="O32" s="29">
        <f>IFERROR((N32-M32)*K32,0)</f>
      </c>
      <c r="P32" s="36" t="s">
        <v>85</v>
      </c>
      <c r="Q32" s="36" t="s">
        <v>85</v>
      </c>
      <c r="R32" s="36" t="s">
        <v>85</v>
      </c>
      <c r="S32" s="36" t="s">
        <v>85</v>
      </c>
      <c r="T32" s="30">
        <v>0</v>
      </c>
      <c r="U32" s="31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421</v>
      </c>
      <c r="D33" s="15" t="s">
        <v>490</v>
      </c>
      <c r="E33" s="15" t="s">
        <v>82</v>
      </c>
      <c r="F33" s="15">
        <v>0.378</v>
      </c>
      <c r="G33" s="15">
        <v>0.378</v>
      </c>
      <c r="H33" s="15" t="s">
        <v>37</v>
      </c>
      <c r="I33" s="15" t="s">
        <v>38</v>
      </c>
      <c r="J33" s="15" t="s">
        <v>491</v>
      </c>
      <c r="K33" s="16">
        <f>F33*1.06</f>
      </c>
      <c r="L33" s="17">
        <v>306.04</v>
      </c>
      <c r="M33" s="32">
        <v>369</v>
      </c>
      <c r="N33" s="32"/>
      <c r="O33" s="33">
        <f>IFERROR((N33-M33)*K33,0)</f>
      </c>
      <c r="P33" s="37" t="s">
        <v>85</v>
      </c>
      <c r="Q33" s="37" t="s">
        <v>85</v>
      </c>
      <c r="R33" s="37" t="s">
        <v>85</v>
      </c>
      <c r="S33" s="37" t="s">
        <v>85</v>
      </c>
      <c r="T33" s="34">
        <v>0</v>
      </c>
      <c r="U33" s="35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421</v>
      </c>
      <c r="D34" s="7" t="s">
        <v>492</v>
      </c>
      <c r="E34" s="7" t="s">
        <v>484</v>
      </c>
      <c r="F34" s="7">
        <v>0.379</v>
      </c>
      <c r="G34" s="7">
        <v>0.379</v>
      </c>
      <c r="H34" s="7" t="s">
        <v>54</v>
      </c>
      <c r="I34" s="7" t="s">
        <v>71</v>
      </c>
      <c r="J34" s="7" t="s">
        <v>493</v>
      </c>
      <c r="K34" s="8">
        <f>F34*1.06</f>
      </c>
      <c r="L34" s="9">
        <v>272.38</v>
      </c>
      <c r="M34" s="28">
        <v>377</v>
      </c>
      <c r="N34" s="28"/>
      <c r="O34" s="29">
        <f>IFERROR((N34-M34)*K34,0)</f>
      </c>
      <c r="P34" s="36" t="s">
        <v>85</v>
      </c>
      <c r="Q34" s="36" t="s">
        <v>85</v>
      </c>
      <c r="R34" s="36" t="s">
        <v>85</v>
      </c>
      <c r="S34" s="36" t="s">
        <v>85</v>
      </c>
      <c r="T34" s="30">
        <v>0</v>
      </c>
      <c r="U34" s="31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421</v>
      </c>
      <c r="D35" s="15" t="s">
        <v>494</v>
      </c>
      <c r="E35" s="15" t="s">
        <v>79</v>
      </c>
      <c r="F35" s="15">
        <v>0.251</v>
      </c>
      <c r="G35" s="15">
        <v>0.212</v>
      </c>
      <c r="H35" s="15" t="s">
        <v>60</v>
      </c>
      <c r="I35" s="15" t="s">
        <v>38</v>
      </c>
      <c r="J35" s="15" t="s">
        <v>495</v>
      </c>
      <c r="K35" s="16">
        <f>F35*1.06</f>
      </c>
      <c r="L35" s="17">
        <v>177.47</v>
      </c>
      <c r="M35" s="32">
        <v>369</v>
      </c>
      <c r="N35" s="32"/>
      <c r="O35" s="33">
        <f>IFERROR((N35-M35)*K35,0)</f>
      </c>
      <c r="P35" s="32">
        <v>237.76569037656904</v>
      </c>
      <c r="Q35" s="32">
        <v>369</v>
      </c>
      <c r="R35" s="32"/>
      <c r="S35" s="34">
        <f>IFERROR((P35/Q35)*R35,0)</f>
      </c>
      <c r="T35" s="34">
        <f>IFERROR((S35-P35)*((F35-G35)*0.8),0)</f>
      </c>
      <c r="U35" s="35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421</v>
      </c>
      <c r="D36" s="7" t="s">
        <v>131</v>
      </c>
      <c r="E36" s="7" t="s">
        <v>484</v>
      </c>
      <c r="F36" s="7">
        <v>1.22</v>
      </c>
      <c r="G36" s="7">
        <v>1.182</v>
      </c>
      <c r="H36" s="7" t="s">
        <v>60</v>
      </c>
      <c r="I36" s="7" t="s">
        <v>38</v>
      </c>
      <c r="J36" s="7" t="s">
        <v>496</v>
      </c>
      <c r="K36" s="8">
        <f>F36*1.06</f>
      </c>
      <c r="L36" s="9">
        <v>631.1</v>
      </c>
      <c r="M36" s="28">
        <v>369</v>
      </c>
      <c r="N36" s="28"/>
      <c r="O36" s="29">
        <f>IFERROR((N36-M36)*K36,0)</f>
      </c>
      <c r="P36" s="28">
        <v>237.76569037656904</v>
      </c>
      <c r="Q36" s="28">
        <v>369</v>
      </c>
      <c r="R36" s="28"/>
      <c r="S36" s="30">
        <f>IFERROR((P36/Q36)*R36,0)</f>
      </c>
      <c r="T36" s="30">
        <f>IFERROR((S36-P36)*((F36-G36)*0.8),0)</f>
      </c>
      <c r="U36" s="31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421</v>
      </c>
      <c r="D37" s="15" t="s">
        <v>425</v>
      </c>
      <c r="E37" s="15" t="s">
        <v>497</v>
      </c>
      <c r="F37" s="15">
        <v>0.047</v>
      </c>
      <c r="G37" s="15">
        <v>0.042</v>
      </c>
      <c r="H37" s="15" t="s">
        <v>60</v>
      </c>
      <c r="I37" s="15" t="s">
        <v>38</v>
      </c>
      <c r="J37" s="15" t="s">
        <v>498</v>
      </c>
      <c r="K37" s="16">
        <f>F37*1.06</f>
      </c>
      <c r="L37" s="17">
        <v>38.14</v>
      </c>
      <c r="M37" s="32">
        <v>369</v>
      </c>
      <c r="N37" s="32"/>
      <c r="O37" s="33">
        <f>IFERROR((N37-M37)*K37,0)</f>
      </c>
      <c r="P37" s="32">
        <v>237.76569037656904</v>
      </c>
      <c r="Q37" s="32">
        <v>369</v>
      </c>
      <c r="R37" s="32"/>
      <c r="S37" s="34">
        <f>IFERROR((P37/Q37)*R37,0)</f>
      </c>
      <c r="T37" s="34">
        <f>IFERROR((S37-P37)*((F37-G37)*0.8),0)</f>
      </c>
      <c r="U37" s="35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421</v>
      </c>
      <c r="D38" s="7" t="s">
        <v>455</v>
      </c>
      <c r="E38" s="7" t="s">
        <v>456</v>
      </c>
      <c r="F38" s="7">
        <v>0.528</v>
      </c>
      <c r="G38" s="7">
        <v>0.465</v>
      </c>
      <c r="H38" s="7" t="s">
        <v>70</v>
      </c>
      <c r="I38" s="7" t="s">
        <v>71</v>
      </c>
      <c r="J38" s="7" t="s">
        <v>499</v>
      </c>
      <c r="K38" s="8">
        <f>F38*1.06</f>
      </c>
      <c r="L38" s="9">
        <v>334.75</v>
      </c>
      <c r="M38" s="28">
        <v>377</v>
      </c>
      <c r="N38" s="28"/>
      <c r="O38" s="29">
        <f>IFERROR((N38-M38)*K38,0)</f>
      </c>
      <c r="P38" s="28">
        <v>237.76569037656904</v>
      </c>
      <c r="Q38" s="28">
        <v>369</v>
      </c>
      <c r="R38" s="28"/>
      <c r="S38" s="30">
        <f>IFERROR((P38/Q38)*R38,0)</f>
      </c>
      <c r="T38" s="30">
        <f>IFERROR((S38-P38)*((F38-G38)*0.8),0)</f>
      </c>
      <c r="U38" s="31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421</v>
      </c>
      <c r="D39" s="15" t="s">
        <v>450</v>
      </c>
      <c r="E39" s="15" t="s">
        <v>451</v>
      </c>
      <c r="F39" s="15">
        <v>0.528</v>
      </c>
      <c r="G39" s="15">
        <v>0.465</v>
      </c>
      <c r="H39" s="15" t="s">
        <v>70</v>
      </c>
      <c r="I39" s="15" t="s">
        <v>71</v>
      </c>
      <c r="J39" s="15" t="s">
        <v>500</v>
      </c>
      <c r="K39" s="16">
        <f>F39*1.06</f>
      </c>
      <c r="L39" s="17">
        <v>334.75</v>
      </c>
      <c r="M39" s="32">
        <v>377</v>
      </c>
      <c r="N39" s="32"/>
      <c r="O39" s="33">
        <f>IFERROR((N39-M39)*K39,0)</f>
      </c>
      <c r="P39" s="32">
        <v>237.76569037656904</v>
      </c>
      <c r="Q39" s="32">
        <v>369</v>
      </c>
      <c r="R39" s="32"/>
      <c r="S39" s="34">
        <f>IFERROR((P39/Q39)*R39,0)</f>
      </c>
      <c r="T39" s="34">
        <f>IFERROR((S39-P39)*((F39-G39)*0.8),0)</f>
      </c>
      <c r="U39" s="35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421</v>
      </c>
      <c r="D40" s="7" t="s">
        <v>425</v>
      </c>
      <c r="E40" s="7" t="s">
        <v>426</v>
      </c>
      <c r="F40" s="7">
        <v>0.047</v>
      </c>
      <c r="G40" s="7">
        <v>0.042</v>
      </c>
      <c r="H40" s="7" t="s">
        <v>70</v>
      </c>
      <c r="I40" s="7" t="s">
        <v>38</v>
      </c>
      <c r="J40" s="7" t="s">
        <v>501</v>
      </c>
      <c r="K40" s="8">
        <f>F40*1.06</f>
      </c>
      <c r="L40" s="9">
        <v>37.73</v>
      </c>
      <c r="M40" s="28">
        <v>369</v>
      </c>
      <c r="N40" s="28"/>
      <c r="O40" s="29">
        <f>IFERROR((N40-M40)*K40,0)</f>
      </c>
      <c r="P40" s="28">
        <v>237.76569037656904</v>
      </c>
      <c r="Q40" s="28">
        <v>369</v>
      </c>
      <c r="R40" s="28"/>
      <c r="S40" s="30">
        <f>IFERROR((P40/Q40)*R40,0)</f>
      </c>
      <c r="T40" s="30">
        <f>IFERROR((S40-P40)*((F40-G40)*0.8),0)</f>
      </c>
      <c r="U40" s="31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421</v>
      </c>
      <c r="D41" s="15" t="s">
        <v>428</v>
      </c>
      <c r="E41" s="15" t="s">
        <v>429</v>
      </c>
      <c r="F41" s="15">
        <v>0.535</v>
      </c>
      <c r="G41" s="15">
        <v>0.468</v>
      </c>
      <c r="H41" s="15" t="s">
        <v>70</v>
      </c>
      <c r="I41" s="15" t="s">
        <v>71</v>
      </c>
      <c r="J41" s="15" t="s">
        <v>502</v>
      </c>
      <c r="K41" s="16">
        <f>F41*1.06</f>
      </c>
      <c r="L41" s="17">
        <v>341.04</v>
      </c>
      <c r="M41" s="32">
        <v>377</v>
      </c>
      <c r="N41" s="32"/>
      <c r="O41" s="33">
        <f>IFERROR((N41-M41)*K41,0)</f>
      </c>
      <c r="P41" s="32">
        <v>237.76569037656904</v>
      </c>
      <c r="Q41" s="32">
        <v>369</v>
      </c>
      <c r="R41" s="32"/>
      <c r="S41" s="34">
        <f>IFERROR((P41/Q41)*R41,0)</f>
      </c>
      <c r="T41" s="34">
        <f>IFERROR((S41-P41)*((F41-G41)*0.8),0)</f>
      </c>
      <c r="U41" s="35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421</v>
      </c>
      <c r="D42" s="7" t="s">
        <v>438</v>
      </c>
      <c r="E42" s="7" t="s">
        <v>439</v>
      </c>
      <c r="F42" s="7">
        <v>0.133</v>
      </c>
      <c r="G42" s="7">
        <v>0.119</v>
      </c>
      <c r="H42" s="7" t="s">
        <v>70</v>
      </c>
      <c r="I42" s="7" t="s">
        <v>38</v>
      </c>
      <c r="J42" s="7" t="s">
        <v>503</v>
      </c>
      <c r="K42" s="8">
        <f>F42*1.06</f>
      </c>
      <c r="L42" s="9">
        <v>92.75</v>
      </c>
      <c r="M42" s="28">
        <v>369</v>
      </c>
      <c r="N42" s="28"/>
      <c r="O42" s="29">
        <f>IFERROR((N42-M42)*K42,0)</f>
      </c>
      <c r="P42" s="28">
        <v>237.76569037656904</v>
      </c>
      <c r="Q42" s="28">
        <v>369</v>
      </c>
      <c r="R42" s="28"/>
      <c r="S42" s="30">
        <f>IFERROR((P42/Q42)*R42,0)</f>
      </c>
      <c r="T42" s="30">
        <f>IFERROR((S42-P42)*((F42-G42)*0.8),0)</f>
      </c>
      <c r="U42" s="31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421</v>
      </c>
      <c r="D43" s="15" t="s">
        <v>470</v>
      </c>
      <c r="E43" s="15" t="s">
        <v>471</v>
      </c>
      <c r="F43" s="15">
        <v>0.313</v>
      </c>
      <c r="G43" s="15">
        <v>0.313</v>
      </c>
      <c r="H43" s="15" t="s">
        <v>70</v>
      </c>
      <c r="I43" s="15" t="s">
        <v>38</v>
      </c>
      <c r="J43" s="15" t="s">
        <v>504</v>
      </c>
      <c r="K43" s="16">
        <f>F43*1.06</f>
      </c>
      <c r="L43" s="17">
        <v>190.23</v>
      </c>
      <c r="M43" s="32">
        <v>369</v>
      </c>
      <c r="N43" s="32"/>
      <c r="O43" s="33">
        <f>IFERROR((N43-M43)*K43,0)</f>
      </c>
      <c r="P43" s="37" t="s">
        <v>85</v>
      </c>
      <c r="Q43" s="37" t="s">
        <v>85</v>
      </c>
      <c r="R43" s="37" t="s">
        <v>85</v>
      </c>
      <c r="S43" s="37" t="s">
        <v>85</v>
      </c>
      <c r="T43" s="34">
        <v>0</v>
      </c>
      <c r="U43" s="35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421</v>
      </c>
      <c r="D44" s="7" t="s">
        <v>447</v>
      </c>
      <c r="E44" s="7" t="s">
        <v>448</v>
      </c>
      <c r="F44" s="7">
        <v>0.213</v>
      </c>
      <c r="G44" s="7">
        <v>0.198</v>
      </c>
      <c r="H44" s="7" t="s">
        <v>70</v>
      </c>
      <c r="I44" s="7" t="s">
        <v>71</v>
      </c>
      <c r="J44" s="7" t="s">
        <v>505</v>
      </c>
      <c r="K44" s="8">
        <f>F44*1.06</f>
      </c>
      <c r="L44" s="9">
        <v>140.14</v>
      </c>
      <c r="M44" s="28">
        <v>377</v>
      </c>
      <c r="N44" s="28"/>
      <c r="O44" s="29">
        <f>IFERROR((N44-M44)*K44,0)</f>
      </c>
      <c r="P44" s="28">
        <v>237.76569037656904</v>
      </c>
      <c r="Q44" s="28">
        <v>369</v>
      </c>
      <c r="R44" s="28"/>
      <c r="S44" s="30">
        <f>IFERROR((P44/Q44)*R44,0)</f>
      </c>
      <c r="T44" s="30">
        <f>IFERROR((S44-P44)*((F44-G44)*0.8),0)</f>
      </c>
      <c r="U44" s="31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421</v>
      </c>
      <c r="D45" s="15" t="s">
        <v>441</v>
      </c>
      <c r="E45" s="15" t="s">
        <v>442</v>
      </c>
      <c r="F45" s="15">
        <v>0.17</v>
      </c>
      <c r="G45" s="15">
        <v>0.15</v>
      </c>
      <c r="H45" s="15" t="s">
        <v>70</v>
      </c>
      <c r="I45" s="15" t="s">
        <v>38</v>
      </c>
      <c r="J45" s="15" t="s">
        <v>506</v>
      </c>
      <c r="K45" s="16">
        <f>F45*1.06</f>
      </c>
      <c r="L45" s="17">
        <v>109.37</v>
      </c>
      <c r="M45" s="32">
        <v>369</v>
      </c>
      <c r="N45" s="32"/>
      <c r="O45" s="33">
        <f>IFERROR((N45-M45)*K45,0)</f>
      </c>
      <c r="P45" s="32">
        <v>237.76569037656904</v>
      </c>
      <c r="Q45" s="32">
        <v>369</v>
      </c>
      <c r="R45" s="32"/>
      <c r="S45" s="34">
        <f>IFERROR((P45/Q45)*R45,0)</f>
      </c>
      <c r="T45" s="34">
        <f>IFERROR((S45-P45)*((F45-G45)*0.8),0)</f>
      </c>
      <c r="U45" s="35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421</v>
      </c>
      <c r="D46" s="7" t="s">
        <v>507</v>
      </c>
      <c r="E46" s="7" t="s">
        <v>508</v>
      </c>
      <c r="F46" s="7">
        <v>1.022</v>
      </c>
      <c r="G46" s="7">
        <v>1.022</v>
      </c>
      <c r="H46" s="7" t="s">
        <v>70</v>
      </c>
      <c r="I46" s="7" t="s">
        <v>38</v>
      </c>
      <c r="J46" s="7" t="s">
        <v>509</v>
      </c>
      <c r="K46" s="8">
        <f>F46*1.06</f>
      </c>
      <c r="L46" s="9">
        <v>535.21</v>
      </c>
      <c r="M46" s="28">
        <v>369</v>
      </c>
      <c r="N46" s="28"/>
      <c r="O46" s="29">
        <f>IFERROR((N46-M46)*K46,0)</f>
      </c>
      <c r="P46" s="36" t="s">
        <v>85</v>
      </c>
      <c r="Q46" s="36" t="s">
        <v>85</v>
      </c>
      <c r="R46" s="36" t="s">
        <v>85</v>
      </c>
      <c r="S46" s="36" t="s">
        <v>85</v>
      </c>
      <c r="T46" s="30">
        <v>0</v>
      </c>
      <c r="U46" s="31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421</v>
      </c>
      <c r="D47" s="15" t="s">
        <v>241</v>
      </c>
      <c r="E47" s="15" t="s">
        <v>242</v>
      </c>
      <c r="F47" s="15">
        <v>0.3</v>
      </c>
      <c r="G47" s="15">
        <v>0.24</v>
      </c>
      <c r="H47" s="15" t="s">
        <v>70</v>
      </c>
      <c r="I47" s="15" t="s">
        <v>71</v>
      </c>
      <c r="J47" s="15" t="s">
        <v>510</v>
      </c>
      <c r="K47" s="16">
        <f>F47*1.06</f>
      </c>
      <c r="L47" s="17">
        <v>194.45</v>
      </c>
      <c r="M47" s="32">
        <v>377</v>
      </c>
      <c r="N47" s="32"/>
      <c r="O47" s="33">
        <f>IFERROR((N47-M47)*K47,0)</f>
      </c>
      <c r="P47" s="32">
        <v>237.76569037656904</v>
      </c>
      <c r="Q47" s="32">
        <v>369</v>
      </c>
      <c r="R47" s="32"/>
      <c r="S47" s="34">
        <f>IFERROR((P47/Q47)*R47,0)</f>
      </c>
      <c r="T47" s="34">
        <f>IFERROR((S47-P47)*((F47-G47)*0.8),0)</f>
      </c>
      <c r="U47" s="35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421</v>
      </c>
      <c r="D48" s="7" t="s">
        <v>244</v>
      </c>
      <c r="E48" s="7" t="s">
        <v>242</v>
      </c>
      <c r="F48" s="7">
        <v>0.304</v>
      </c>
      <c r="G48" s="7">
        <v>0.264</v>
      </c>
      <c r="H48" s="7" t="s">
        <v>70</v>
      </c>
      <c r="I48" s="7" t="s">
        <v>71</v>
      </c>
      <c r="J48" s="7" t="s">
        <v>511</v>
      </c>
      <c r="K48" s="8">
        <f>F48*1.06</f>
      </c>
      <c r="L48" s="9">
        <v>195.92</v>
      </c>
      <c r="M48" s="28">
        <v>377</v>
      </c>
      <c r="N48" s="28"/>
      <c r="O48" s="29">
        <f>IFERROR((N48-M48)*K48,0)</f>
      </c>
      <c r="P48" s="28">
        <v>237.76569037656904</v>
      </c>
      <c r="Q48" s="28">
        <v>369</v>
      </c>
      <c r="R48" s="28"/>
      <c r="S48" s="30">
        <f>IFERROR((P48/Q48)*R48,0)</f>
      </c>
      <c r="T48" s="30">
        <f>IFERROR((S48-P48)*((F48-G48)*0.8),0)</f>
      </c>
      <c r="U48" s="31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421</v>
      </c>
      <c r="D49" s="15" t="s">
        <v>512</v>
      </c>
      <c r="E49" s="15" t="s">
        <v>513</v>
      </c>
      <c r="F49" s="15">
        <v>0.111</v>
      </c>
      <c r="G49" s="15">
        <v>0.111</v>
      </c>
      <c r="H49" s="15" t="s">
        <v>70</v>
      </c>
      <c r="I49" s="15" t="s">
        <v>38</v>
      </c>
      <c r="J49" s="15" t="s">
        <v>514</v>
      </c>
      <c r="K49" s="16">
        <f>F49*1.06</f>
      </c>
      <c r="L49" s="17">
        <v>72.71</v>
      </c>
      <c r="M49" s="32">
        <v>369</v>
      </c>
      <c r="N49" s="32"/>
      <c r="O49" s="33">
        <f>IFERROR((N49-M49)*K49,0)</f>
      </c>
      <c r="P49" s="37" t="s">
        <v>85</v>
      </c>
      <c r="Q49" s="37" t="s">
        <v>85</v>
      </c>
      <c r="R49" s="37" t="s">
        <v>85</v>
      </c>
      <c r="S49" s="37" t="s">
        <v>85</v>
      </c>
      <c r="T49" s="34">
        <v>0</v>
      </c>
      <c r="U49" s="35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421</v>
      </c>
      <c r="D50" s="7" t="s">
        <v>444</v>
      </c>
      <c r="E50" s="7" t="s">
        <v>445</v>
      </c>
      <c r="F50" s="7">
        <v>0.145</v>
      </c>
      <c r="G50" s="7">
        <v>0.145</v>
      </c>
      <c r="H50" s="7" t="s">
        <v>70</v>
      </c>
      <c r="I50" s="7" t="s">
        <v>71</v>
      </c>
      <c r="J50" s="7" t="s">
        <v>515</v>
      </c>
      <c r="K50" s="8">
        <f>F50*1.06</f>
      </c>
      <c r="L50" s="9">
        <v>91.64</v>
      </c>
      <c r="M50" s="28">
        <v>377</v>
      </c>
      <c r="N50" s="28"/>
      <c r="O50" s="29">
        <f>IFERROR((N50-M50)*K50,0)</f>
      </c>
      <c r="P50" s="36" t="s">
        <v>85</v>
      </c>
      <c r="Q50" s="36" t="s">
        <v>85</v>
      </c>
      <c r="R50" s="36" t="s">
        <v>85</v>
      </c>
      <c r="S50" s="36" t="s">
        <v>85</v>
      </c>
      <c r="T50" s="30">
        <v>0</v>
      </c>
      <c r="U50" s="31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421</v>
      </c>
      <c r="D51" s="15" t="s">
        <v>516</v>
      </c>
      <c r="E51" s="15" t="s">
        <v>474</v>
      </c>
      <c r="F51" s="15">
        <v>0.178</v>
      </c>
      <c r="G51" s="15">
        <v>0.159</v>
      </c>
      <c r="H51" s="15" t="s">
        <v>70</v>
      </c>
      <c r="I51" s="15" t="s">
        <v>71</v>
      </c>
      <c r="J51" s="15" t="s">
        <v>517</v>
      </c>
      <c r="K51" s="16">
        <f>F51*1.06</f>
      </c>
      <c r="L51" s="17">
        <v>128.28</v>
      </c>
      <c r="M51" s="32">
        <v>377</v>
      </c>
      <c r="N51" s="32"/>
      <c r="O51" s="33">
        <f>IFERROR((N51-M51)*K51,0)</f>
      </c>
      <c r="P51" s="32">
        <v>237.76569037656904</v>
      </c>
      <c r="Q51" s="32">
        <v>369</v>
      </c>
      <c r="R51" s="32"/>
      <c r="S51" s="34">
        <f>IFERROR((P51/Q51)*R51,0)</f>
      </c>
      <c r="T51" s="34">
        <f>IFERROR((S51-P51)*((F51-G51)*0.8),0)</f>
      </c>
      <c r="U51" s="35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421</v>
      </c>
      <c r="D52" s="7" t="s">
        <v>518</v>
      </c>
      <c r="E52" s="7" t="s">
        <v>519</v>
      </c>
      <c r="F52" s="7">
        <v>0.111</v>
      </c>
      <c r="G52" s="7">
        <v>0.111</v>
      </c>
      <c r="H52" s="7" t="s">
        <v>70</v>
      </c>
      <c r="I52" s="7" t="s">
        <v>71</v>
      </c>
      <c r="J52" s="7" t="s">
        <v>520</v>
      </c>
      <c r="K52" s="8">
        <f>F52*1.06</f>
      </c>
      <c r="L52" s="9">
        <v>74.16</v>
      </c>
      <c r="M52" s="28">
        <v>377</v>
      </c>
      <c r="N52" s="28"/>
      <c r="O52" s="29">
        <f>IFERROR((N52-M52)*K52,0)</f>
      </c>
      <c r="P52" s="36" t="s">
        <v>85</v>
      </c>
      <c r="Q52" s="36" t="s">
        <v>85</v>
      </c>
      <c r="R52" s="36" t="s">
        <v>85</v>
      </c>
      <c r="S52" s="36" t="s">
        <v>85</v>
      </c>
      <c r="T52" s="30">
        <v>0</v>
      </c>
      <c r="U52" s="31">
        <f>ROUND(L52+O52-T52,2)</f>
      </c>
      <c r="V52" s="13">
        <v>0</v>
      </c>
      <c r="W52" s="14">
        <f>(U52-L52)*V52/100000</f>
      </c>
    </row>
    <row r="53" spans="1:23" x14ac:dyDescent="0.25">
      <c r="A53" s="15">
        <v>50</v>
      </c>
      <c r="B53" s="15">
        <f>D53&amp;H53</f>
      </c>
      <c r="C53" s="15" t="s">
        <v>421</v>
      </c>
      <c r="D53" s="15" t="s">
        <v>521</v>
      </c>
      <c r="E53" s="15" t="s">
        <v>522</v>
      </c>
      <c r="F53" s="15">
        <v>0.31</v>
      </c>
      <c r="G53" s="15">
        <v>0.308</v>
      </c>
      <c r="H53" s="15" t="s">
        <v>70</v>
      </c>
      <c r="I53" s="15" t="s">
        <v>38</v>
      </c>
      <c r="J53" s="15" t="s">
        <v>523</v>
      </c>
      <c r="K53" s="16">
        <f>F53*1.06</f>
      </c>
      <c r="L53" s="17">
        <v>173.25</v>
      </c>
      <c r="M53" s="32">
        <v>369</v>
      </c>
      <c r="N53" s="32"/>
      <c r="O53" s="33">
        <f>IFERROR((N53-M53)*K53,0)</f>
      </c>
      <c r="P53" s="32">
        <v>237.76569037656904</v>
      </c>
      <c r="Q53" s="32">
        <v>369</v>
      </c>
      <c r="R53" s="32"/>
      <c r="S53" s="34">
        <f>IFERROR((P53/Q53)*R53,0)</f>
      </c>
      <c r="T53" s="34">
        <f>IFERROR((S53-P53)*((F53-G53)*0.8),0)</f>
      </c>
      <c r="U53" s="35">
        <f>ROUND(L53+O53-T53,2)</f>
      </c>
      <c r="V53" s="21">
        <v>0</v>
      </c>
      <c r="W53" s="22">
        <f>(U53-L53)*V53/100000</f>
      </c>
    </row>
    <row r="54" spans="1:23" x14ac:dyDescent="0.25">
      <c r="A54" s="7">
        <v>51</v>
      </c>
      <c r="B54" s="7">
        <f>D54&amp;H54</f>
      </c>
      <c r="C54" s="7" t="s">
        <v>421</v>
      </c>
      <c r="D54" s="7" t="s">
        <v>524</v>
      </c>
      <c r="E54" s="7" t="s">
        <v>41</v>
      </c>
      <c r="F54" s="7">
        <v>1.294</v>
      </c>
      <c r="G54" s="7">
        <v>1.245</v>
      </c>
      <c r="H54" s="7" t="s">
        <v>70</v>
      </c>
      <c r="I54" s="7" t="s">
        <v>141</v>
      </c>
      <c r="J54" s="7" t="s">
        <v>525</v>
      </c>
      <c r="K54" s="8">
        <f>F54*1.06</f>
      </c>
      <c r="L54" s="9">
        <v>707.5</v>
      </c>
      <c r="M54" s="28">
        <v>379</v>
      </c>
      <c r="N54" s="28"/>
      <c r="O54" s="29">
        <f>IFERROR((N54-M54)*K54,0)</f>
      </c>
      <c r="P54" s="28">
        <v>237.76569037656904</v>
      </c>
      <c r="Q54" s="28">
        <v>369</v>
      </c>
      <c r="R54" s="28"/>
      <c r="S54" s="30">
        <f>IFERROR((P54/Q54)*R54,0)</f>
      </c>
      <c r="T54" s="30">
        <f>IFERROR((S54-P54)*((F54-G54)*0.8),0)</f>
      </c>
      <c r="U54" s="31">
        <f>ROUND(L54+O54-T54,2)</f>
      </c>
      <c r="V54" s="13">
        <v>0</v>
      </c>
      <c r="W54" s="14">
        <f>(U54-L54)*V54/100000</f>
      </c>
    </row>
    <row r="55" spans="1:23" x14ac:dyDescent="0.25">
      <c r="A55" s="15">
        <v>52</v>
      </c>
      <c r="B55" s="15">
        <f>D55&amp;H55</f>
      </c>
      <c r="C55" s="15" t="s">
        <v>421</v>
      </c>
      <c r="D55" s="15" t="s">
        <v>526</v>
      </c>
      <c r="E55" s="15" t="s">
        <v>335</v>
      </c>
      <c r="F55" s="15">
        <v>0.914</v>
      </c>
      <c r="G55" s="15">
        <v>0.862</v>
      </c>
      <c r="H55" s="15" t="s">
        <v>70</v>
      </c>
      <c r="I55" s="15" t="s">
        <v>38</v>
      </c>
      <c r="J55" s="15" t="s">
        <v>527</v>
      </c>
      <c r="K55" s="16">
        <f>F55*1.06</f>
      </c>
      <c r="L55" s="17">
        <v>497.46</v>
      </c>
      <c r="M55" s="32">
        <v>369</v>
      </c>
      <c r="N55" s="32"/>
      <c r="O55" s="33">
        <f>IFERROR((N55-M55)*K55,0)</f>
      </c>
      <c r="P55" s="32">
        <v>237.76569037656904</v>
      </c>
      <c r="Q55" s="32">
        <v>369</v>
      </c>
      <c r="R55" s="32"/>
      <c r="S55" s="34">
        <f>IFERROR((P55/Q55)*R55,0)</f>
      </c>
      <c r="T55" s="34">
        <f>IFERROR((S55-P55)*((F55-G55)*0.8),0)</f>
      </c>
      <c r="U55" s="35">
        <f>ROUND(L55+O55-T55,2)</f>
      </c>
      <c r="V55" s="21">
        <v>0</v>
      </c>
      <c r="W55" s="22">
        <f>(U55-L55)*V55/100000</f>
      </c>
    </row>
    <row r="56" spans="1:23" x14ac:dyDescent="0.25">
      <c r="A56" s="7">
        <v>53</v>
      </c>
      <c r="B56" s="7">
        <f>D56&amp;H56</f>
      </c>
      <c r="C56" s="7" t="s">
        <v>421</v>
      </c>
      <c r="D56" s="7" t="s">
        <v>528</v>
      </c>
      <c r="E56" s="7" t="s">
        <v>432</v>
      </c>
      <c r="F56" s="7">
        <v>0.879</v>
      </c>
      <c r="G56" s="7">
        <v>0.839</v>
      </c>
      <c r="H56" s="7" t="s">
        <v>70</v>
      </c>
      <c r="I56" s="7" t="s">
        <v>38</v>
      </c>
      <c r="J56" s="7" t="s">
        <v>529</v>
      </c>
      <c r="K56" s="8">
        <f>F56*1.06</f>
      </c>
      <c r="L56" s="9">
        <v>491.99</v>
      </c>
      <c r="M56" s="28">
        <v>369</v>
      </c>
      <c r="N56" s="28"/>
      <c r="O56" s="29">
        <f>IFERROR((N56-M56)*K56,0)</f>
      </c>
      <c r="P56" s="28">
        <v>237.76569037656904</v>
      </c>
      <c r="Q56" s="28">
        <v>369</v>
      </c>
      <c r="R56" s="28"/>
      <c r="S56" s="30">
        <f>IFERROR((P56/Q56)*R56,0)</f>
      </c>
      <c r="T56" s="30">
        <f>IFERROR((S56-P56)*((F56-G56)*0.8),0)</f>
      </c>
      <c r="U56" s="31">
        <f>ROUND(L56+O56-T56,2)</f>
      </c>
      <c r="V56" s="13">
        <v>0</v>
      </c>
      <c r="W56" s="14">
        <f>(U56-L56)*V56/100000</f>
      </c>
    </row>
    <row r="57" spans="1:23" x14ac:dyDescent="0.25">
      <c r="A57" s="15">
        <v>54</v>
      </c>
      <c r="B57" s="15">
        <f>D57&amp;H57</f>
      </c>
      <c r="C57" s="15" t="s">
        <v>421</v>
      </c>
      <c r="D57" s="15" t="s">
        <v>342</v>
      </c>
      <c r="E57" s="15" t="s">
        <v>343</v>
      </c>
      <c r="F57" s="15">
        <v>0.193</v>
      </c>
      <c r="G57" s="15">
        <v>0.169</v>
      </c>
      <c r="H57" s="15" t="s">
        <v>70</v>
      </c>
      <c r="I57" s="15" t="s">
        <v>71</v>
      </c>
      <c r="J57" s="15" t="s">
        <v>530</v>
      </c>
      <c r="K57" s="16">
        <f>F57*1.06</f>
      </c>
      <c r="L57" s="17">
        <v>126.94</v>
      </c>
      <c r="M57" s="32">
        <v>377</v>
      </c>
      <c r="N57" s="32"/>
      <c r="O57" s="33">
        <f>IFERROR((N57-M57)*K57,0)</f>
      </c>
      <c r="P57" s="32">
        <v>237.76569037656904</v>
      </c>
      <c r="Q57" s="32">
        <v>369</v>
      </c>
      <c r="R57" s="32"/>
      <c r="S57" s="34">
        <f>IFERROR((P57/Q57)*R57,0)</f>
      </c>
      <c r="T57" s="34">
        <f>IFERROR((S57-P57)*((F57-G57)*0.8),0)</f>
      </c>
      <c r="U57" s="35">
        <f>ROUND(L57+O57-T57,2)</f>
      </c>
      <c r="V57" s="21">
        <v>0</v>
      </c>
      <c r="W57" s="22">
        <f>(U57-L57)*V57/100000</f>
      </c>
    </row>
    <row r="58" spans="1:23" x14ac:dyDescent="0.25">
      <c r="A58" s="7">
        <v>55</v>
      </c>
      <c r="B58" s="7">
        <f>D58&amp;H58</f>
      </c>
      <c r="C58" s="7" t="s">
        <v>421</v>
      </c>
      <c r="D58" s="7" t="s">
        <v>246</v>
      </c>
      <c r="E58" s="7" t="s">
        <v>242</v>
      </c>
      <c r="F58" s="7">
        <v>0.287</v>
      </c>
      <c r="G58" s="7">
        <v>0.252</v>
      </c>
      <c r="H58" s="7" t="s">
        <v>70</v>
      </c>
      <c r="I58" s="7" t="s">
        <v>71</v>
      </c>
      <c r="J58" s="7" t="s">
        <v>531</v>
      </c>
      <c r="K58" s="8">
        <f>F58*1.06</f>
      </c>
      <c r="L58" s="9">
        <v>193.63</v>
      </c>
      <c r="M58" s="28">
        <v>377</v>
      </c>
      <c r="N58" s="28"/>
      <c r="O58" s="29">
        <f>IFERROR((N58-M58)*K58,0)</f>
      </c>
      <c r="P58" s="28">
        <v>237.76569037656904</v>
      </c>
      <c r="Q58" s="28">
        <v>369</v>
      </c>
      <c r="R58" s="28"/>
      <c r="S58" s="30">
        <f>IFERROR((P58/Q58)*R58,0)</f>
      </c>
      <c r="T58" s="30">
        <f>IFERROR((S58-P58)*((F58-G58)*0.8),0)</f>
      </c>
      <c r="U58" s="31">
        <f>ROUND(L58+O58-T58,2)</f>
      </c>
      <c r="V58" s="13">
        <v>0</v>
      </c>
      <c r="W58" s="14">
        <f>(U58-L58)*V58/100000</f>
      </c>
    </row>
    <row r="59" spans="1:23" x14ac:dyDescent="0.25">
      <c r="A59" s="15">
        <v>56</v>
      </c>
      <c r="B59" s="15">
        <f>D59&amp;H59</f>
      </c>
      <c r="C59" s="15" t="s">
        <v>421</v>
      </c>
      <c r="D59" s="15" t="s">
        <v>532</v>
      </c>
      <c r="E59" s="15" t="s">
        <v>533</v>
      </c>
      <c r="F59" s="15">
        <v>0.716</v>
      </c>
      <c r="G59" s="15">
        <v>0.669</v>
      </c>
      <c r="H59" s="15" t="s">
        <v>70</v>
      </c>
      <c r="I59" s="15" t="s">
        <v>38</v>
      </c>
      <c r="J59" s="15" t="s">
        <v>534</v>
      </c>
      <c r="K59" s="16">
        <f>F59*1.06</f>
      </c>
      <c r="L59" s="17">
        <v>396.85</v>
      </c>
      <c r="M59" s="32">
        <v>369</v>
      </c>
      <c r="N59" s="32"/>
      <c r="O59" s="33">
        <f>IFERROR((N59-M59)*K59,0)</f>
      </c>
      <c r="P59" s="32">
        <v>237.76569037656904</v>
      </c>
      <c r="Q59" s="32">
        <v>369</v>
      </c>
      <c r="R59" s="32"/>
      <c r="S59" s="34">
        <f>IFERROR((P59/Q59)*R59,0)</f>
      </c>
      <c r="T59" s="34">
        <f>IFERROR((S59-P59)*((F59-G59)*0.8),0)</f>
      </c>
      <c r="U59" s="35">
        <f>ROUND(L59+O59-T59,2)</f>
      </c>
      <c r="V59" s="21">
        <v>0</v>
      </c>
      <c r="W59" s="22">
        <f>(U59-L59)*V59/100000</f>
      </c>
    </row>
    <row r="60" spans="1:23" x14ac:dyDescent="0.25">
      <c r="A60" s="7">
        <v>57</v>
      </c>
      <c r="B60" s="7">
        <f>D60&amp;H60</f>
      </c>
      <c r="C60" s="7" t="s">
        <v>421</v>
      </c>
      <c r="D60" s="7" t="s">
        <v>535</v>
      </c>
      <c r="E60" s="7" t="s">
        <v>82</v>
      </c>
      <c r="F60" s="7">
        <v>0.541</v>
      </c>
      <c r="G60" s="7">
        <v>0.476</v>
      </c>
      <c r="H60" s="7" t="s">
        <v>70</v>
      </c>
      <c r="I60" s="7" t="s">
        <v>71</v>
      </c>
      <c r="J60" s="7" t="s">
        <v>536</v>
      </c>
      <c r="K60" s="8">
        <f>F60*1.06</f>
      </c>
      <c r="L60" s="9">
        <v>345.01</v>
      </c>
      <c r="M60" s="28">
        <v>377</v>
      </c>
      <c r="N60" s="28"/>
      <c r="O60" s="29">
        <f>IFERROR((N60-M60)*K60,0)</f>
      </c>
      <c r="P60" s="28">
        <v>237.76569037656904</v>
      </c>
      <c r="Q60" s="28">
        <v>369</v>
      </c>
      <c r="R60" s="28"/>
      <c r="S60" s="30">
        <f>IFERROR((P60/Q60)*R60,0)</f>
      </c>
      <c r="T60" s="30">
        <f>IFERROR((S60-P60)*((F60-G60)*0.8),0)</f>
      </c>
      <c r="U60" s="31">
        <f>ROUND(L60+O60-T60,2)</f>
      </c>
      <c r="V60" s="13">
        <v>0</v>
      </c>
      <c r="W60" s="14">
        <f>(U60-L60)*V60/100000</f>
      </c>
    </row>
    <row r="61" spans="1:23" x14ac:dyDescent="0.25">
      <c r="A61" s="15">
        <v>58</v>
      </c>
      <c r="B61" s="15">
        <f>D61&amp;H61</f>
      </c>
      <c r="C61" s="15" t="s">
        <v>421</v>
      </c>
      <c r="D61" s="15" t="s">
        <v>327</v>
      </c>
      <c r="E61" s="15" t="s">
        <v>328</v>
      </c>
      <c r="F61" s="15">
        <v>0.435</v>
      </c>
      <c r="G61" s="15">
        <v>0.375</v>
      </c>
      <c r="H61" s="15" t="s">
        <v>70</v>
      </c>
      <c r="I61" s="15" t="s">
        <v>71</v>
      </c>
      <c r="J61" s="15" t="s">
        <v>537</v>
      </c>
      <c r="K61" s="16">
        <f>F61*1.06</f>
      </c>
      <c r="L61" s="17">
        <v>280.4</v>
      </c>
      <c r="M61" s="32">
        <v>377</v>
      </c>
      <c r="N61" s="32"/>
      <c r="O61" s="33">
        <f>IFERROR((N61-M61)*K61,0)</f>
      </c>
      <c r="P61" s="32">
        <v>237.76569037656904</v>
      </c>
      <c r="Q61" s="32">
        <v>369</v>
      </c>
      <c r="R61" s="32"/>
      <c r="S61" s="34">
        <f>IFERROR((P61/Q61)*R61,0)</f>
      </c>
      <c r="T61" s="34">
        <f>IFERROR((S61-P61)*((F61-G61)*0.8),0)</f>
      </c>
      <c r="U61" s="35">
        <f>ROUND(L61+O61-T61,2)</f>
      </c>
      <c r="V61" s="21">
        <v>0</v>
      </c>
      <c r="W61" s="22">
        <f>(U61-L61)*V61/100000</f>
      </c>
    </row>
    <row r="62" spans="1:23" x14ac:dyDescent="0.25">
      <c r="A62" s="7">
        <v>59</v>
      </c>
      <c r="B62" s="7">
        <f>D62&amp;H62</f>
      </c>
      <c r="C62" s="7" t="s">
        <v>421</v>
      </c>
      <c r="D62" s="7" t="s">
        <v>316</v>
      </c>
      <c r="E62" s="7" t="s">
        <v>317</v>
      </c>
      <c r="F62" s="7">
        <v>0.435</v>
      </c>
      <c r="G62" s="7">
        <v>0.377</v>
      </c>
      <c r="H62" s="7" t="s">
        <v>70</v>
      </c>
      <c r="I62" s="7" t="s">
        <v>71</v>
      </c>
      <c r="J62" s="7" t="s">
        <v>538</v>
      </c>
      <c r="K62" s="8">
        <f>F62*1.06</f>
      </c>
      <c r="L62" s="9">
        <v>280.53</v>
      </c>
      <c r="M62" s="28">
        <v>377</v>
      </c>
      <c r="N62" s="28"/>
      <c r="O62" s="29">
        <f>IFERROR((N62-M62)*K62,0)</f>
      </c>
      <c r="P62" s="28">
        <v>237.76569037656904</v>
      </c>
      <c r="Q62" s="28">
        <v>369</v>
      </c>
      <c r="R62" s="28"/>
      <c r="S62" s="30">
        <f>IFERROR((P62/Q62)*R62,0)</f>
      </c>
      <c r="T62" s="30">
        <f>IFERROR((S62-P62)*((F62-G62)*0.8),0)</f>
      </c>
      <c r="U62" s="31">
        <f>ROUND(L62+O62-T62,2)</f>
      </c>
      <c r="V62" s="13">
        <v>0</v>
      </c>
      <c r="W62" s="14">
        <f>(U62-L62)*V62/100000</f>
      </c>
    </row>
    <row r="63" spans="1:23" x14ac:dyDescent="0.25">
      <c r="A63" s="15">
        <v>60</v>
      </c>
      <c r="B63" s="15">
        <f>D63&amp;H63</f>
      </c>
      <c r="C63" s="15" t="s">
        <v>421</v>
      </c>
      <c r="D63" s="15" t="s">
        <v>482</v>
      </c>
      <c r="E63" s="15" t="s">
        <v>82</v>
      </c>
      <c r="F63" s="15">
        <v>0.518</v>
      </c>
      <c r="G63" s="15">
        <v>0.458</v>
      </c>
      <c r="H63" s="15" t="s">
        <v>70</v>
      </c>
      <c r="I63" s="15" t="s">
        <v>71</v>
      </c>
      <c r="J63" s="15" t="s">
        <v>539</v>
      </c>
      <c r="K63" s="16">
        <f>F63*1.06</f>
      </c>
      <c r="L63" s="17">
        <v>339.3</v>
      </c>
      <c r="M63" s="32">
        <v>377</v>
      </c>
      <c r="N63" s="32"/>
      <c r="O63" s="33">
        <f>IFERROR((N63-M63)*K63,0)</f>
      </c>
      <c r="P63" s="32">
        <v>237.76569037656904</v>
      </c>
      <c r="Q63" s="32">
        <v>369</v>
      </c>
      <c r="R63" s="32"/>
      <c r="S63" s="34">
        <f>IFERROR((P63/Q63)*R63,0)</f>
      </c>
      <c r="T63" s="34">
        <f>IFERROR((S63-P63)*((F63-G63)*0.8),0)</f>
      </c>
      <c r="U63" s="35">
        <f>ROUND(L63+O63-T63,2)</f>
      </c>
      <c r="V63" s="21">
        <v>0</v>
      </c>
      <c r="W63" s="22">
        <f>(U63-L63)*V63/100000</f>
      </c>
    </row>
    <row r="64" spans="1:23" x14ac:dyDescent="0.25">
      <c r="A64" s="7">
        <v>61</v>
      </c>
      <c r="B64" s="7">
        <f>D64&amp;H64</f>
      </c>
      <c r="C64" s="7" t="s">
        <v>421</v>
      </c>
      <c r="D64" s="7" t="s">
        <v>540</v>
      </c>
      <c r="E64" s="7" t="s">
        <v>541</v>
      </c>
      <c r="F64" s="7">
        <v>0.49</v>
      </c>
      <c r="G64" s="7">
        <v>0.489</v>
      </c>
      <c r="H64" s="7" t="s">
        <v>70</v>
      </c>
      <c r="I64" s="7" t="s">
        <v>38</v>
      </c>
      <c r="J64" s="7" t="s">
        <v>542</v>
      </c>
      <c r="K64" s="8">
        <f>F64*1.06</f>
      </c>
      <c r="L64" s="9">
        <v>335.38</v>
      </c>
      <c r="M64" s="28">
        <v>369</v>
      </c>
      <c r="N64" s="28"/>
      <c r="O64" s="29">
        <f>IFERROR((N64-M64)*K64,0)</f>
      </c>
      <c r="P64" s="28">
        <v>237.76569037656904</v>
      </c>
      <c r="Q64" s="28">
        <v>369</v>
      </c>
      <c r="R64" s="28"/>
      <c r="S64" s="30">
        <f>IFERROR((P64/Q64)*R64,0)</f>
      </c>
      <c r="T64" s="30">
        <f>IFERROR((S64-P64)*((F64-G64)*0.8),0)</f>
      </c>
      <c r="U64" s="31">
        <f>ROUND(L64+O64-T64,2)</f>
      </c>
      <c r="V64" s="13">
        <v>0</v>
      </c>
      <c r="W64" s="14">
        <f>(U64-L64)*V64/100000</f>
      </c>
    </row>
    <row r="65" spans="1:23" x14ac:dyDescent="0.25">
      <c r="A65" s="15">
        <v>62</v>
      </c>
      <c r="B65" s="15">
        <f>D65&amp;H65</f>
      </c>
      <c r="C65" s="15" t="s">
        <v>421</v>
      </c>
      <c r="D65" s="15" t="s">
        <v>480</v>
      </c>
      <c r="E65" s="15" t="s">
        <v>294</v>
      </c>
      <c r="F65" s="15">
        <v>0.518</v>
      </c>
      <c r="G65" s="15">
        <v>0.518</v>
      </c>
      <c r="H65" s="15" t="s">
        <v>70</v>
      </c>
      <c r="I65" s="15" t="s">
        <v>71</v>
      </c>
      <c r="J65" s="15" t="s">
        <v>543</v>
      </c>
      <c r="K65" s="16">
        <f>F65*1.06</f>
      </c>
      <c r="L65" s="17">
        <v>345.12</v>
      </c>
      <c r="M65" s="32">
        <v>377</v>
      </c>
      <c r="N65" s="32"/>
      <c r="O65" s="33">
        <f>IFERROR((N65-M65)*K65,0)</f>
      </c>
      <c r="P65" s="37" t="s">
        <v>85</v>
      </c>
      <c r="Q65" s="37" t="s">
        <v>85</v>
      </c>
      <c r="R65" s="37" t="s">
        <v>85</v>
      </c>
      <c r="S65" s="37" t="s">
        <v>85</v>
      </c>
      <c r="T65" s="34">
        <v>0</v>
      </c>
      <c r="U65" s="35">
        <f>ROUND(L65+O65-T65,2)</f>
      </c>
      <c r="V65" s="21">
        <v>0</v>
      </c>
      <c r="W65" s="22">
        <f>(U65-L65)*V65/100000</f>
      </c>
    </row>
    <row r="66" spans="1:23" x14ac:dyDescent="0.25">
      <c r="A66" s="7">
        <v>63</v>
      </c>
      <c r="B66" s="7">
        <f>D66&amp;H66</f>
      </c>
      <c r="C66" s="7" t="s">
        <v>421</v>
      </c>
      <c r="D66" s="7" t="s">
        <v>494</v>
      </c>
      <c r="E66" s="7" t="s">
        <v>79</v>
      </c>
      <c r="F66" s="7">
        <v>0.251</v>
      </c>
      <c r="G66" s="7">
        <v>0.212</v>
      </c>
      <c r="H66" s="7" t="s">
        <v>70</v>
      </c>
      <c r="I66" s="7" t="s">
        <v>38</v>
      </c>
      <c r="J66" s="7" t="s">
        <v>544</v>
      </c>
      <c r="K66" s="8">
        <f>F66*1.06</f>
      </c>
      <c r="L66" s="9">
        <v>152.32</v>
      </c>
      <c r="M66" s="28">
        <v>369</v>
      </c>
      <c r="N66" s="28"/>
      <c r="O66" s="29">
        <f>IFERROR((N66-M66)*K66,0)</f>
      </c>
      <c r="P66" s="28">
        <v>237.76569037656904</v>
      </c>
      <c r="Q66" s="28">
        <v>369</v>
      </c>
      <c r="R66" s="28"/>
      <c r="S66" s="30">
        <f>IFERROR((P66/Q66)*R66,0)</f>
      </c>
      <c r="T66" s="30">
        <f>IFERROR((S66-P66)*((F66-G66)*0.8),0)</f>
      </c>
      <c r="U66" s="31">
        <f>ROUND(L66+O66-T66,2)</f>
      </c>
      <c r="V66" s="13">
        <v>0</v>
      </c>
      <c r="W66" s="14">
        <f>(U66-L66)*V66/100000</f>
      </c>
    </row>
    <row r="67" spans="1:23" x14ac:dyDescent="0.25">
      <c r="A67" s="15">
        <v>64</v>
      </c>
      <c r="B67" s="15">
        <f>D67&amp;H67</f>
      </c>
      <c r="C67" s="15" t="s">
        <v>421</v>
      </c>
      <c r="D67" s="15" t="s">
        <v>545</v>
      </c>
      <c r="E67" s="15" t="s">
        <v>484</v>
      </c>
      <c r="F67" s="15">
        <v>0.412</v>
      </c>
      <c r="G67" s="15">
        <v>0.39</v>
      </c>
      <c r="H67" s="15" t="s">
        <v>70</v>
      </c>
      <c r="I67" s="15" t="s">
        <v>38</v>
      </c>
      <c r="J67" s="15" t="s">
        <v>546</v>
      </c>
      <c r="K67" s="16">
        <f>F67*1.06</f>
      </c>
      <c r="L67" s="17">
        <v>265.67</v>
      </c>
      <c r="M67" s="32">
        <v>369</v>
      </c>
      <c r="N67" s="32"/>
      <c r="O67" s="33">
        <f>IFERROR((N67-M67)*K67,0)</f>
      </c>
      <c r="P67" s="32">
        <v>237.76569037656904</v>
      </c>
      <c r="Q67" s="32">
        <v>369</v>
      </c>
      <c r="R67" s="32"/>
      <c r="S67" s="34">
        <f>IFERROR((P67/Q67)*R67,0)</f>
      </c>
      <c r="T67" s="34">
        <f>IFERROR((S67-P67)*((F67-G67)*0.8),0)</f>
      </c>
      <c r="U67" s="35">
        <f>ROUND(L67+O67-T67,2)</f>
      </c>
      <c r="V67" s="21">
        <v>0</v>
      </c>
      <c r="W67" s="22">
        <f>(U67-L67)*V67/100000</f>
      </c>
    </row>
    <row r="68" spans="1:23" x14ac:dyDescent="0.25">
      <c r="A68" s="7">
        <v>65</v>
      </c>
      <c r="B68" s="7">
        <f>D68&amp;H68</f>
      </c>
      <c r="C68" s="7" t="s">
        <v>421</v>
      </c>
      <c r="D68" s="7" t="s">
        <v>486</v>
      </c>
      <c r="E68" s="7" t="s">
        <v>82</v>
      </c>
      <c r="F68" s="7">
        <v>0.412</v>
      </c>
      <c r="G68" s="7">
        <v>0.39</v>
      </c>
      <c r="H68" s="7" t="s">
        <v>70</v>
      </c>
      <c r="I68" s="7" t="s">
        <v>38</v>
      </c>
      <c r="J68" s="7" t="s">
        <v>547</v>
      </c>
      <c r="K68" s="8">
        <f>F68*1.06</f>
      </c>
      <c r="L68" s="9">
        <v>272.4</v>
      </c>
      <c r="M68" s="28">
        <v>369</v>
      </c>
      <c r="N68" s="28"/>
      <c r="O68" s="29">
        <f>IFERROR((N68-M68)*K68,0)</f>
      </c>
      <c r="P68" s="28">
        <v>237.76569037656904</v>
      </c>
      <c r="Q68" s="28">
        <v>369</v>
      </c>
      <c r="R68" s="28"/>
      <c r="S68" s="30">
        <f>IFERROR((P68/Q68)*R68,0)</f>
      </c>
      <c r="T68" s="30">
        <f>IFERROR((S68-P68)*((F68-G68)*0.8),0)</f>
      </c>
      <c r="U68" s="31">
        <f>ROUND(L68+O68-T68,2)</f>
      </c>
      <c r="V68" s="13">
        <v>0</v>
      </c>
      <c r="W68" s="14">
        <f>(U68-L68)*V68/100000</f>
      </c>
    </row>
    <row r="69" spans="1:23" x14ac:dyDescent="0.25">
      <c r="A69" s="15">
        <v>66</v>
      </c>
      <c r="B69" s="15">
        <f>D69&amp;H69</f>
      </c>
      <c r="C69" s="15" t="s">
        <v>421</v>
      </c>
      <c r="D69" s="15" t="s">
        <v>492</v>
      </c>
      <c r="E69" s="15" t="s">
        <v>484</v>
      </c>
      <c r="F69" s="15">
        <v>0.379</v>
      </c>
      <c r="G69" s="15">
        <v>0.379</v>
      </c>
      <c r="H69" s="15" t="s">
        <v>70</v>
      </c>
      <c r="I69" s="15" t="s">
        <v>71</v>
      </c>
      <c r="J69" s="15" t="s">
        <v>548</v>
      </c>
      <c r="K69" s="16">
        <f>F69*1.06</f>
      </c>
      <c r="L69" s="17">
        <v>272.38</v>
      </c>
      <c r="M69" s="32">
        <v>377</v>
      </c>
      <c r="N69" s="32"/>
      <c r="O69" s="33">
        <f>IFERROR((N69-M69)*K69,0)</f>
      </c>
      <c r="P69" s="37" t="s">
        <v>85</v>
      </c>
      <c r="Q69" s="37" t="s">
        <v>85</v>
      </c>
      <c r="R69" s="37" t="s">
        <v>85</v>
      </c>
      <c r="S69" s="37" t="s">
        <v>85</v>
      </c>
      <c r="T69" s="34">
        <v>0</v>
      </c>
      <c r="U69" s="35">
        <f>ROUND(L69+O69-T69,2)</f>
      </c>
      <c r="V69" s="21">
        <v>0</v>
      </c>
      <c r="W69" s="22">
        <f>(U69-L69)*V69/100000</f>
      </c>
    </row>
    <row r="70" spans="1:23" x14ac:dyDescent="0.25">
      <c r="A70" s="7">
        <v>67</v>
      </c>
      <c r="B70" s="7">
        <f>D70&amp;H70</f>
      </c>
      <c r="C70" s="7" t="s">
        <v>421</v>
      </c>
      <c r="D70" s="7" t="s">
        <v>549</v>
      </c>
      <c r="E70" s="7" t="s">
        <v>484</v>
      </c>
      <c r="F70" s="7">
        <v>0.389</v>
      </c>
      <c r="G70" s="7">
        <v>0.389</v>
      </c>
      <c r="H70" s="7" t="s">
        <v>70</v>
      </c>
      <c r="I70" s="7" t="s">
        <v>38</v>
      </c>
      <c r="J70" s="7" t="s">
        <v>550</v>
      </c>
      <c r="K70" s="8">
        <f>F70*1.06</f>
      </c>
      <c r="L70" s="9">
        <v>269.84</v>
      </c>
      <c r="M70" s="28">
        <v>369</v>
      </c>
      <c r="N70" s="28"/>
      <c r="O70" s="29">
        <f>IFERROR((N70-M70)*K70,0)</f>
      </c>
      <c r="P70" s="36" t="s">
        <v>85</v>
      </c>
      <c r="Q70" s="36" t="s">
        <v>85</v>
      </c>
      <c r="R70" s="36" t="s">
        <v>85</v>
      </c>
      <c r="S70" s="36" t="s">
        <v>85</v>
      </c>
      <c r="T70" s="30">
        <v>0</v>
      </c>
      <c r="U70" s="31">
        <f>ROUND(L70+O70-T70,2)</f>
      </c>
      <c r="V70" s="13">
        <v>0</v>
      </c>
      <c r="W70" s="14">
        <f>(U70-L70)*V70/100000</f>
      </c>
    </row>
    <row r="71" spans="1:23" x14ac:dyDescent="0.25">
      <c r="A71" s="15">
        <v>68</v>
      </c>
      <c r="B71" s="15">
        <f>D71&amp;H71</f>
      </c>
      <c r="C71" s="15" t="s">
        <v>421</v>
      </c>
      <c r="D71" s="15" t="s">
        <v>551</v>
      </c>
      <c r="E71" s="15" t="s">
        <v>484</v>
      </c>
      <c r="F71" s="15">
        <v>0.412</v>
      </c>
      <c r="G71" s="15">
        <v>0.39</v>
      </c>
      <c r="H71" s="15" t="s">
        <v>70</v>
      </c>
      <c r="I71" s="15" t="s">
        <v>38</v>
      </c>
      <c r="J71" s="15" t="s">
        <v>552</v>
      </c>
      <c r="K71" s="16">
        <f>F71*1.06</f>
      </c>
      <c r="L71" s="17">
        <v>272.4</v>
      </c>
      <c r="M71" s="32">
        <v>369</v>
      </c>
      <c r="N71" s="32"/>
      <c r="O71" s="33">
        <f>IFERROR((N71-M71)*K71,0)</f>
      </c>
      <c r="P71" s="32">
        <v>237.76569037656904</v>
      </c>
      <c r="Q71" s="32">
        <v>369</v>
      </c>
      <c r="R71" s="32"/>
      <c r="S71" s="34">
        <f>IFERROR((P71/Q71)*R71,0)</f>
      </c>
      <c r="T71" s="34">
        <f>IFERROR((S71-P71)*((F71-G71)*0.8),0)</f>
      </c>
      <c r="U71" s="35">
        <f>ROUND(L71+O71-T71,2)</f>
      </c>
      <c r="V71" s="21">
        <v>0</v>
      </c>
      <c r="W71" s="22">
        <f>(U71-L71)*V71/100000</f>
      </c>
    </row>
    <row r="72" spans="1:23" x14ac:dyDescent="0.25">
      <c r="A72" s="7">
        <v>69</v>
      </c>
      <c r="B72" s="7">
        <f>D72&amp;H72</f>
      </c>
      <c r="C72" s="7" t="s">
        <v>421</v>
      </c>
      <c r="D72" s="7" t="s">
        <v>438</v>
      </c>
      <c r="E72" s="7" t="s">
        <v>439</v>
      </c>
      <c r="F72" s="7">
        <v>0.133</v>
      </c>
      <c r="G72" s="7">
        <v>0.119</v>
      </c>
      <c r="H72" s="7" t="s">
        <v>154</v>
      </c>
      <c r="I72" s="7" t="s">
        <v>38</v>
      </c>
      <c r="J72" s="7" t="s">
        <v>553</v>
      </c>
      <c r="K72" s="8">
        <f>F72*1.06</f>
      </c>
      <c r="L72" s="9">
        <v>88.74</v>
      </c>
      <c r="M72" s="28">
        <v>369</v>
      </c>
      <c r="N72" s="28"/>
      <c r="O72" s="29">
        <f>IFERROR((N72-M72)*K72,0)</f>
      </c>
      <c r="P72" s="28">
        <v>237.76569037656904</v>
      </c>
      <c r="Q72" s="28">
        <v>369</v>
      </c>
      <c r="R72" s="28"/>
      <c r="S72" s="30">
        <f>IFERROR((P72/Q72)*R72,0)</f>
      </c>
      <c r="T72" s="30">
        <f>IFERROR((S72-P72)*((F72-G72)*0.8),0)</f>
      </c>
      <c r="U72" s="31">
        <f>ROUND(L72+O72-T72,2)</f>
      </c>
      <c r="V72" s="13">
        <v>0</v>
      </c>
      <c r="W72" s="14">
        <f>(U72-L72)*V72/100000</f>
      </c>
    </row>
    <row r="73" spans="1:23" x14ac:dyDescent="0.25">
      <c r="A73" s="15">
        <v>70</v>
      </c>
      <c r="B73" s="15">
        <f>D73&amp;H73</f>
      </c>
      <c r="C73" s="15" t="s">
        <v>421</v>
      </c>
      <c r="D73" s="15" t="s">
        <v>244</v>
      </c>
      <c r="E73" s="15" t="s">
        <v>554</v>
      </c>
      <c r="F73" s="15">
        <v>0.304</v>
      </c>
      <c r="G73" s="15">
        <v>0.264</v>
      </c>
      <c r="H73" s="15" t="s">
        <v>83</v>
      </c>
      <c r="I73" s="15" t="s">
        <v>71</v>
      </c>
      <c r="J73" s="15" t="s">
        <v>555</v>
      </c>
      <c r="K73" s="16">
        <f>F73*1.06</f>
      </c>
      <c r="L73" s="17">
        <v>196.62</v>
      </c>
      <c r="M73" s="32">
        <v>377</v>
      </c>
      <c r="N73" s="32"/>
      <c r="O73" s="33">
        <f>IFERROR((N73-M73)*K73,0)</f>
      </c>
      <c r="P73" s="32">
        <v>237.76569037656904</v>
      </c>
      <c r="Q73" s="32">
        <v>369</v>
      </c>
      <c r="R73" s="32"/>
      <c r="S73" s="34">
        <f>IFERROR((P73/Q73)*R73,0)</f>
      </c>
      <c r="T73" s="34">
        <f>IFERROR((S73-P73)*((F73-G73)*0.8),0)</f>
      </c>
      <c r="U73" s="35">
        <f>ROUND(L73+O73-T73,2)</f>
      </c>
      <c r="V73" s="21">
        <v>0</v>
      </c>
      <c r="W73" s="22">
        <f>(U73-L73)*V73/100000</f>
      </c>
    </row>
    <row r="74" spans="1:23" x14ac:dyDescent="0.25">
      <c r="A74" s="7">
        <v>71</v>
      </c>
      <c r="B74" s="7">
        <f>D74&amp;H74</f>
      </c>
      <c r="C74" s="7" t="s">
        <v>421</v>
      </c>
      <c r="D74" s="7" t="s">
        <v>434</v>
      </c>
      <c r="E74" s="7" t="s">
        <v>435</v>
      </c>
      <c r="F74" s="7">
        <v>0.455</v>
      </c>
      <c r="G74" s="7">
        <v>0.412</v>
      </c>
      <c r="H74" s="7" t="s">
        <v>83</v>
      </c>
      <c r="I74" s="7" t="s">
        <v>38</v>
      </c>
      <c r="J74" s="7" t="s">
        <v>556</v>
      </c>
      <c r="K74" s="8">
        <f>F74*1.06</f>
      </c>
      <c r="L74" s="9">
        <v>316.96</v>
      </c>
      <c r="M74" s="28">
        <v>369</v>
      </c>
      <c r="N74" s="28"/>
      <c r="O74" s="29">
        <f>IFERROR((N74-M74)*K74,0)</f>
      </c>
      <c r="P74" s="28">
        <v>237.76569037656904</v>
      </c>
      <c r="Q74" s="28">
        <v>369</v>
      </c>
      <c r="R74" s="28"/>
      <c r="S74" s="30">
        <f>IFERROR((P74/Q74)*R74,0)</f>
      </c>
      <c r="T74" s="30">
        <f>IFERROR((S74-P74)*((F74-G74)*0.8),0)</f>
      </c>
      <c r="U74" s="31">
        <f>ROUND(L74+O74-T74,2)</f>
      </c>
      <c r="V74" s="13">
        <v>0</v>
      </c>
      <c r="W74" s="14">
        <f>(U74-L74)*V74/100000</f>
      </c>
    </row>
    <row r="75" spans="1:23" x14ac:dyDescent="0.25">
      <c r="A75" s="15">
        <v>72</v>
      </c>
      <c r="B75" s="15">
        <f>D75&amp;H75</f>
      </c>
      <c r="C75" s="15" t="s">
        <v>421</v>
      </c>
      <c r="D75" s="15" t="s">
        <v>521</v>
      </c>
      <c r="E75" s="15" t="s">
        <v>522</v>
      </c>
      <c r="F75" s="15">
        <v>0.31</v>
      </c>
      <c r="G75" s="15">
        <v>0.308</v>
      </c>
      <c r="H75" s="15" t="s">
        <v>83</v>
      </c>
      <c r="I75" s="15" t="s">
        <v>38</v>
      </c>
      <c r="J75" s="15" t="s">
        <v>557</v>
      </c>
      <c r="K75" s="16">
        <f>F75*1.06</f>
      </c>
      <c r="L75" s="17">
        <v>173.37</v>
      </c>
      <c r="M75" s="32">
        <v>369</v>
      </c>
      <c r="N75" s="32"/>
      <c r="O75" s="33">
        <f>IFERROR((N75-M75)*K75,0)</f>
      </c>
      <c r="P75" s="32">
        <v>237.76569037656904</v>
      </c>
      <c r="Q75" s="32">
        <v>369</v>
      </c>
      <c r="R75" s="32"/>
      <c r="S75" s="34">
        <f>IFERROR((P75/Q75)*R75,0)</f>
      </c>
      <c r="T75" s="34">
        <f>IFERROR((S75-P75)*((F75-G75)*0.8),0)</f>
      </c>
      <c r="U75" s="35">
        <f>ROUND(L75+O75-T75,2)</f>
      </c>
      <c r="V75" s="21">
        <v>0</v>
      </c>
      <c r="W75" s="22">
        <f>(U75-L75)*V75/100000</f>
      </c>
    </row>
    <row r="76" spans="1:23" x14ac:dyDescent="0.25">
      <c r="A76" s="7">
        <v>73</v>
      </c>
      <c r="B76" s="7">
        <f>D76&amp;H76</f>
      </c>
      <c r="C76" s="7" t="s">
        <v>421</v>
      </c>
      <c r="D76" s="7" t="s">
        <v>438</v>
      </c>
      <c r="E76" s="7" t="s">
        <v>439</v>
      </c>
      <c r="F76" s="7">
        <v>0.133</v>
      </c>
      <c r="G76" s="7">
        <v>0.119</v>
      </c>
      <c r="H76" s="7" t="s">
        <v>83</v>
      </c>
      <c r="I76" s="7" t="s">
        <v>38</v>
      </c>
      <c r="J76" s="7" t="s">
        <v>558</v>
      </c>
      <c r="K76" s="8">
        <f>F76*1.06</f>
      </c>
      <c r="L76" s="9">
        <v>92.75</v>
      </c>
      <c r="M76" s="28">
        <v>369</v>
      </c>
      <c r="N76" s="28"/>
      <c r="O76" s="29">
        <f>IFERROR((N76-M76)*K76,0)</f>
      </c>
      <c r="P76" s="28">
        <v>237.76569037656904</v>
      </c>
      <c r="Q76" s="28">
        <v>369</v>
      </c>
      <c r="R76" s="28"/>
      <c r="S76" s="30">
        <f>IFERROR((P76/Q76)*R76,0)</f>
      </c>
      <c r="T76" s="30">
        <f>IFERROR((S76-P76)*((F76-G76)*0.8),0)</f>
      </c>
      <c r="U76" s="31">
        <f>ROUND(L76+O76-T76,2)</f>
      </c>
      <c r="V76" s="13">
        <v>0</v>
      </c>
      <c r="W76" s="14">
        <f>(U76-L76)*V76/100000</f>
      </c>
    </row>
    <row r="77" spans="1:23" x14ac:dyDescent="0.25">
      <c r="A77" s="15">
        <v>74</v>
      </c>
      <c r="B77" s="15">
        <f>D77&amp;H77</f>
      </c>
      <c r="C77" s="15" t="s">
        <v>421</v>
      </c>
      <c r="D77" s="15" t="s">
        <v>462</v>
      </c>
      <c r="E77" s="15" t="s">
        <v>463</v>
      </c>
      <c r="F77" s="15">
        <v>0.111</v>
      </c>
      <c r="G77" s="15">
        <v>0.006</v>
      </c>
      <c r="H77" s="15" t="s">
        <v>83</v>
      </c>
      <c r="I77" s="15" t="s">
        <v>71</v>
      </c>
      <c r="J77" s="15" t="s">
        <v>559</v>
      </c>
      <c r="K77" s="16">
        <f>F77*1.06</f>
      </c>
      <c r="L77" s="17">
        <v>63.35</v>
      </c>
      <c r="M77" s="32">
        <v>377</v>
      </c>
      <c r="N77" s="32"/>
      <c r="O77" s="33">
        <f>IFERROR((N77-M77)*K77,0)</f>
      </c>
      <c r="P77" s="32">
        <v>237.76569037656904</v>
      </c>
      <c r="Q77" s="32">
        <v>369</v>
      </c>
      <c r="R77" s="32"/>
      <c r="S77" s="34">
        <f>IFERROR((P77/Q77)*R77,0)</f>
      </c>
      <c r="T77" s="34">
        <f>IFERROR((S77-P77)*((F77-G77)*0.8),0)</f>
      </c>
      <c r="U77" s="35">
        <f>ROUND(L77+O77-T77,2)</f>
      </c>
      <c r="V77" s="21">
        <v>0</v>
      </c>
      <c r="W77" s="22">
        <f>(U77-L77)*V77/100000</f>
      </c>
    </row>
    <row r="78" spans="1:23" x14ac:dyDescent="0.25">
      <c r="A78" s="7">
        <v>75</v>
      </c>
      <c r="B78" s="7">
        <f>D78&amp;H78</f>
      </c>
      <c r="C78" s="7" t="s">
        <v>421</v>
      </c>
      <c r="D78" s="7" t="s">
        <v>560</v>
      </c>
      <c r="E78" s="7" t="s">
        <v>79</v>
      </c>
      <c r="F78" s="7">
        <v>0.171</v>
      </c>
      <c r="G78" s="7">
        <v>0.148</v>
      </c>
      <c r="H78" s="7" t="s">
        <v>83</v>
      </c>
      <c r="I78" s="7" t="s">
        <v>38</v>
      </c>
      <c r="J78" s="7" t="s">
        <v>561</v>
      </c>
      <c r="K78" s="8">
        <f>F78*1.06</f>
      </c>
      <c r="L78" s="9">
        <v>124.19</v>
      </c>
      <c r="M78" s="28">
        <v>369</v>
      </c>
      <c r="N78" s="28"/>
      <c r="O78" s="29">
        <f>IFERROR((N78-M78)*K78,0)</f>
      </c>
      <c r="P78" s="28">
        <v>237.76569037656904</v>
      </c>
      <c r="Q78" s="28">
        <v>369</v>
      </c>
      <c r="R78" s="28"/>
      <c r="S78" s="30">
        <f>IFERROR((P78/Q78)*R78,0)</f>
      </c>
      <c r="T78" s="30">
        <f>IFERROR((S78-P78)*((F78-G78)*0.8),0)</f>
      </c>
      <c r="U78" s="31">
        <f>ROUND(L78+O78-T78,2)</f>
      </c>
      <c r="V78" s="13">
        <v>0</v>
      </c>
      <c r="W78" s="14">
        <f>(U78-L78)*V78/100000</f>
      </c>
    </row>
    <row r="79" spans="1:23" x14ac:dyDescent="0.25">
      <c r="A79" s="15">
        <v>76</v>
      </c>
      <c r="B79" s="15">
        <f>D79&amp;H79</f>
      </c>
      <c r="C79" s="15" t="s">
        <v>421</v>
      </c>
      <c r="D79" s="15" t="s">
        <v>342</v>
      </c>
      <c r="E79" s="15" t="s">
        <v>343</v>
      </c>
      <c r="F79" s="15">
        <v>0.193</v>
      </c>
      <c r="G79" s="15">
        <v>0.169</v>
      </c>
      <c r="H79" s="15" t="s">
        <v>83</v>
      </c>
      <c r="I79" s="15" t="s">
        <v>71</v>
      </c>
      <c r="J79" s="15" t="s">
        <v>562</v>
      </c>
      <c r="K79" s="16">
        <f>F79*1.06</f>
      </c>
      <c r="L79" s="17">
        <v>126.97</v>
      </c>
      <c r="M79" s="32">
        <v>377</v>
      </c>
      <c r="N79" s="32"/>
      <c r="O79" s="33">
        <f>IFERROR((N79-M79)*K79,0)</f>
      </c>
      <c r="P79" s="32">
        <v>237.76569037656904</v>
      </c>
      <c r="Q79" s="32">
        <v>369</v>
      </c>
      <c r="R79" s="32"/>
      <c r="S79" s="34">
        <f>IFERROR((P79/Q79)*R79,0)</f>
      </c>
      <c r="T79" s="34">
        <f>IFERROR((S79-P79)*((F79-G79)*0.8),0)</f>
      </c>
      <c r="U79" s="35">
        <f>ROUND(L79+O79-T79,2)</f>
      </c>
      <c r="V79" s="21">
        <v>0</v>
      </c>
      <c r="W79" s="22">
        <f>(U79-L79)*V79/100000</f>
      </c>
    </row>
    <row r="80" spans="1:23" x14ac:dyDescent="0.25">
      <c r="A80" s="7">
        <v>77</v>
      </c>
      <c r="B80" s="7">
        <f>D80&amp;H80</f>
      </c>
      <c r="C80" s="7" t="s">
        <v>421</v>
      </c>
      <c r="D80" s="7" t="s">
        <v>459</v>
      </c>
      <c r="E80" s="7" t="s">
        <v>460</v>
      </c>
      <c r="F80" s="7">
        <v>1.052</v>
      </c>
      <c r="G80" s="7">
        <v>1.032</v>
      </c>
      <c r="H80" s="7" t="s">
        <v>83</v>
      </c>
      <c r="I80" s="7" t="s">
        <v>71</v>
      </c>
      <c r="J80" s="7" t="s">
        <v>563</v>
      </c>
      <c r="K80" s="8">
        <f>F80*1.06</f>
      </c>
      <c r="L80" s="9">
        <v>529.42</v>
      </c>
      <c r="M80" s="28">
        <v>377</v>
      </c>
      <c r="N80" s="28"/>
      <c r="O80" s="29">
        <f>IFERROR((N80-M80)*K80,0)</f>
      </c>
      <c r="P80" s="28">
        <v>237.76569037656904</v>
      </c>
      <c r="Q80" s="28">
        <v>369</v>
      </c>
      <c r="R80" s="28"/>
      <c r="S80" s="30">
        <f>IFERROR((P80/Q80)*R80,0)</f>
      </c>
      <c r="T80" s="30">
        <f>IFERROR((S80-P80)*((F80-G80)*0.8),0)</f>
      </c>
      <c r="U80" s="31">
        <f>ROUND(L80+O80-T80,2)</f>
      </c>
      <c r="V80" s="13">
        <v>0</v>
      </c>
      <c r="W80" s="14">
        <f>(U80-L80)*V80/100000</f>
      </c>
    </row>
    <row r="81" spans="1:23" x14ac:dyDescent="0.25">
      <c r="A81" s="15">
        <v>78</v>
      </c>
      <c r="B81" s="15">
        <f>D81&amp;H81</f>
      </c>
      <c r="C81" s="15" t="s">
        <v>421</v>
      </c>
      <c r="D81" s="15" t="s">
        <v>532</v>
      </c>
      <c r="E81" s="15" t="s">
        <v>432</v>
      </c>
      <c r="F81" s="15">
        <v>0.716</v>
      </c>
      <c r="G81" s="15">
        <v>0.669</v>
      </c>
      <c r="H81" s="15" t="s">
        <v>83</v>
      </c>
      <c r="I81" s="15" t="s">
        <v>38</v>
      </c>
      <c r="J81" s="15" t="s">
        <v>564</v>
      </c>
      <c r="K81" s="16">
        <f>F81*1.06</f>
      </c>
      <c r="L81" s="17">
        <v>398.78</v>
      </c>
      <c r="M81" s="32">
        <v>369</v>
      </c>
      <c r="N81" s="32"/>
      <c r="O81" s="33">
        <f>IFERROR((N81-M81)*K81,0)</f>
      </c>
      <c r="P81" s="32">
        <v>237.76569037656904</v>
      </c>
      <c r="Q81" s="32">
        <v>369</v>
      </c>
      <c r="R81" s="32"/>
      <c r="S81" s="34">
        <f>IFERROR((P81/Q81)*R81,0)</f>
      </c>
      <c r="T81" s="34">
        <f>IFERROR((S81-P81)*((F81-G81)*0.8),0)</f>
      </c>
      <c r="U81" s="35">
        <f>ROUND(L81+O81-T81,2)</f>
      </c>
      <c r="V81" s="21">
        <v>0</v>
      </c>
      <c r="W81" s="22">
        <f>(U81-L81)*V81/100000</f>
      </c>
    </row>
    <row r="82" spans="1:23" x14ac:dyDescent="0.25">
      <c r="A82" s="7">
        <v>79</v>
      </c>
      <c r="B82" s="7">
        <f>D82&amp;H82</f>
      </c>
      <c r="C82" s="7" t="s">
        <v>421</v>
      </c>
      <c r="D82" s="7" t="s">
        <v>444</v>
      </c>
      <c r="E82" s="7" t="s">
        <v>445</v>
      </c>
      <c r="F82" s="7">
        <v>0.145</v>
      </c>
      <c r="G82" s="7">
        <v>0.145</v>
      </c>
      <c r="H82" s="7" t="s">
        <v>83</v>
      </c>
      <c r="I82" s="7" t="s">
        <v>71</v>
      </c>
      <c r="J82" s="7" t="s">
        <v>565</v>
      </c>
      <c r="K82" s="8">
        <f>F82*1.06</f>
      </c>
      <c r="L82" s="9">
        <v>91.64</v>
      </c>
      <c r="M82" s="28">
        <v>377</v>
      </c>
      <c r="N82" s="28"/>
      <c r="O82" s="29">
        <f>IFERROR((N82-M82)*K82,0)</f>
      </c>
      <c r="P82" s="36" t="s">
        <v>85</v>
      </c>
      <c r="Q82" s="36" t="s">
        <v>85</v>
      </c>
      <c r="R82" s="36" t="s">
        <v>85</v>
      </c>
      <c r="S82" s="36" t="s">
        <v>85</v>
      </c>
      <c r="T82" s="30">
        <v>0</v>
      </c>
      <c r="U82" s="31">
        <f>ROUND(L82+O82-T82,2)</f>
      </c>
      <c r="V82" s="13">
        <v>0</v>
      </c>
      <c r="W82" s="14">
        <f>(U82-L82)*V82/100000</f>
      </c>
    </row>
    <row r="83" spans="1:23" x14ac:dyDescent="0.25">
      <c r="A83" s="15">
        <v>80</v>
      </c>
      <c r="B83" s="15">
        <f>D83&amp;H83</f>
      </c>
      <c r="C83" s="15" t="s">
        <v>421</v>
      </c>
      <c r="D83" s="15" t="s">
        <v>566</v>
      </c>
      <c r="E83" s="15" t="s">
        <v>567</v>
      </c>
      <c r="F83" s="15">
        <v>0.528</v>
      </c>
      <c r="G83" s="15">
        <v>0.528</v>
      </c>
      <c r="H83" s="15" t="s">
        <v>83</v>
      </c>
      <c r="I83" s="15" t="s">
        <v>71</v>
      </c>
      <c r="J83" s="15" t="s">
        <v>568</v>
      </c>
      <c r="K83" s="16">
        <f>F83*1.06</f>
      </c>
      <c r="L83" s="17">
        <v>280.35</v>
      </c>
      <c r="M83" s="32">
        <v>377</v>
      </c>
      <c r="N83" s="32"/>
      <c r="O83" s="33">
        <f>IFERROR((N83-M83)*K83,0)</f>
      </c>
      <c r="P83" s="37" t="s">
        <v>85</v>
      </c>
      <c r="Q83" s="37" t="s">
        <v>85</v>
      </c>
      <c r="R83" s="37" t="s">
        <v>85</v>
      </c>
      <c r="S83" s="37" t="s">
        <v>85</v>
      </c>
      <c r="T83" s="34">
        <v>0</v>
      </c>
      <c r="U83" s="35">
        <f>ROUND(L83+O83-T83,2)</f>
      </c>
      <c r="V83" s="21">
        <v>0</v>
      </c>
      <c r="W83" s="22">
        <f>(U83-L83)*V83/100000</f>
      </c>
    </row>
    <row r="84" spans="1:23" x14ac:dyDescent="0.25">
      <c r="A84" s="7">
        <v>81</v>
      </c>
      <c r="B84" s="7">
        <f>D84&amp;H84</f>
      </c>
      <c r="C84" s="7" t="s">
        <v>421</v>
      </c>
      <c r="D84" s="7" t="s">
        <v>473</v>
      </c>
      <c r="E84" s="7" t="s">
        <v>474</v>
      </c>
      <c r="F84" s="7">
        <v>0.178</v>
      </c>
      <c r="G84" s="7">
        <v>0.159</v>
      </c>
      <c r="H84" s="7" t="s">
        <v>83</v>
      </c>
      <c r="I84" s="7" t="s">
        <v>71</v>
      </c>
      <c r="J84" s="7" t="s">
        <v>569</v>
      </c>
      <c r="K84" s="8">
        <f>F84*1.06</f>
      </c>
      <c r="L84" s="9">
        <v>121.93</v>
      </c>
      <c r="M84" s="28">
        <v>377</v>
      </c>
      <c r="N84" s="28"/>
      <c r="O84" s="29">
        <f>IFERROR((N84-M84)*K84,0)</f>
      </c>
      <c r="P84" s="28">
        <v>237.76569037656904</v>
      </c>
      <c r="Q84" s="28">
        <v>369</v>
      </c>
      <c r="R84" s="28"/>
      <c r="S84" s="30">
        <f>IFERROR((P84/Q84)*R84,0)</f>
      </c>
      <c r="T84" s="30">
        <f>IFERROR((S84-P84)*((F84-G84)*0.8),0)</f>
      </c>
      <c r="U84" s="31">
        <f>ROUND(L84+O84-T84,2)</f>
      </c>
      <c r="V84" s="13">
        <v>0</v>
      </c>
      <c r="W84" s="14">
        <f>(U84-L84)*V84/100000</f>
      </c>
    </row>
    <row r="85" spans="1:23" x14ac:dyDescent="0.25">
      <c r="A85" s="15">
        <v>82</v>
      </c>
      <c r="B85" s="15">
        <f>D85&amp;H85</f>
      </c>
      <c r="C85" s="15" t="s">
        <v>421</v>
      </c>
      <c r="D85" s="15" t="s">
        <v>570</v>
      </c>
      <c r="E85" s="15" t="s">
        <v>571</v>
      </c>
      <c r="F85" s="15">
        <v>0.402</v>
      </c>
      <c r="G85" s="15">
        <v>0.376</v>
      </c>
      <c r="H85" s="15" t="s">
        <v>83</v>
      </c>
      <c r="I85" s="15" t="s">
        <v>71</v>
      </c>
      <c r="J85" s="15" t="s">
        <v>572</v>
      </c>
      <c r="K85" s="16">
        <f>F85*1.06</f>
      </c>
      <c r="L85" s="17">
        <v>254.12</v>
      </c>
      <c r="M85" s="32">
        <v>377</v>
      </c>
      <c r="N85" s="32"/>
      <c r="O85" s="33">
        <f>IFERROR((N85-M85)*K85,0)</f>
      </c>
      <c r="P85" s="32">
        <v>237.76569037656904</v>
      </c>
      <c r="Q85" s="32">
        <v>369</v>
      </c>
      <c r="R85" s="32"/>
      <c r="S85" s="34">
        <f>IFERROR((P85/Q85)*R85,0)</f>
      </c>
      <c r="T85" s="34">
        <f>IFERROR((S85-P85)*((F85-G85)*0.8),0)</f>
      </c>
      <c r="U85" s="35">
        <f>ROUND(L85+O85-T85,2)</f>
      </c>
      <c r="V85" s="21">
        <v>0</v>
      </c>
      <c r="W85" s="22">
        <f>(U85-L85)*V85/100000</f>
      </c>
    </row>
    <row r="86" spans="1:23" x14ac:dyDescent="0.25">
      <c r="A86" s="7">
        <v>83</v>
      </c>
      <c r="B86" s="7">
        <f>D86&amp;H86</f>
      </c>
      <c r="C86" s="7" t="s">
        <v>421</v>
      </c>
      <c r="D86" s="7" t="s">
        <v>494</v>
      </c>
      <c r="E86" s="7" t="s">
        <v>573</v>
      </c>
      <c r="F86" s="7">
        <v>0.251</v>
      </c>
      <c r="G86" s="7">
        <v>0.212</v>
      </c>
      <c r="H86" s="7" t="s">
        <v>83</v>
      </c>
      <c r="I86" s="7" t="s">
        <v>38</v>
      </c>
      <c r="J86" s="7" t="s">
        <v>574</v>
      </c>
      <c r="K86" s="8">
        <f>F86*1.06</f>
      </c>
      <c r="L86" s="9">
        <v>156.98</v>
      </c>
      <c r="M86" s="28">
        <v>369</v>
      </c>
      <c r="N86" s="28"/>
      <c r="O86" s="29">
        <f>IFERROR((N86-M86)*K86,0)</f>
      </c>
      <c r="P86" s="28">
        <v>237.76569037656904</v>
      </c>
      <c r="Q86" s="28">
        <v>369</v>
      </c>
      <c r="R86" s="28"/>
      <c r="S86" s="30">
        <f>IFERROR((P86/Q86)*R86,0)</f>
      </c>
      <c r="T86" s="30">
        <f>IFERROR((S86-P86)*((F86-G86)*0.8),0)</f>
      </c>
      <c r="U86" s="31">
        <f>ROUND(L86+O86-T86,2)</f>
      </c>
      <c r="V86" s="13">
        <v>0</v>
      </c>
      <c r="W86" s="14">
        <f>(U86-L86)*V86/100000</f>
      </c>
    </row>
    <row r="87" spans="1:23" x14ac:dyDescent="0.25">
      <c r="A87" s="15">
        <v>84</v>
      </c>
      <c r="B87" s="15">
        <f>D87&amp;H87</f>
      </c>
      <c r="C87" s="15" t="s">
        <v>421</v>
      </c>
      <c r="D87" s="15" t="s">
        <v>575</v>
      </c>
      <c r="E87" s="15" t="s">
        <v>41</v>
      </c>
      <c r="F87" s="15">
        <v>1.022</v>
      </c>
      <c r="G87" s="15">
        <v>1.022</v>
      </c>
      <c r="H87" s="15" t="s">
        <v>83</v>
      </c>
      <c r="I87" s="15" t="s">
        <v>38</v>
      </c>
      <c r="J87" s="15" t="s">
        <v>576</v>
      </c>
      <c r="K87" s="16">
        <f>F87*1.06</f>
      </c>
      <c r="L87" s="17">
        <v>514.15</v>
      </c>
      <c r="M87" s="32">
        <v>369</v>
      </c>
      <c r="N87" s="32"/>
      <c r="O87" s="33">
        <f>IFERROR((N87-M87)*K87,0)</f>
      </c>
      <c r="P87" s="37" t="s">
        <v>85</v>
      </c>
      <c r="Q87" s="37" t="s">
        <v>85</v>
      </c>
      <c r="R87" s="37" t="s">
        <v>85</v>
      </c>
      <c r="S87" s="37" t="s">
        <v>85</v>
      </c>
      <c r="T87" s="34">
        <v>0</v>
      </c>
      <c r="U87" s="35">
        <f>ROUND(L87+O87-T87,2)</f>
      </c>
      <c r="V87" s="21">
        <v>0</v>
      </c>
      <c r="W87" s="22">
        <f>(U87-L87)*V87/100000</f>
      </c>
    </row>
    <row r="88" spans="1:23" x14ac:dyDescent="0.25">
      <c r="A88" s="7">
        <v>85</v>
      </c>
      <c r="B88" s="7">
        <f>D88&amp;H88</f>
      </c>
      <c r="C88" s="7" t="s">
        <v>421</v>
      </c>
      <c r="D88" s="7" t="s">
        <v>577</v>
      </c>
      <c r="E88" s="7" t="s">
        <v>578</v>
      </c>
      <c r="F88" s="7">
        <v>0.716</v>
      </c>
      <c r="G88" s="7">
        <v>0.041</v>
      </c>
      <c r="H88" s="7" t="s">
        <v>83</v>
      </c>
      <c r="I88" s="7" t="s">
        <v>38</v>
      </c>
      <c r="J88" s="7" t="s">
        <v>579</v>
      </c>
      <c r="K88" s="8">
        <f>F88*1.06</f>
      </c>
      <c r="L88" s="9">
        <v>330.67</v>
      </c>
      <c r="M88" s="28">
        <v>369</v>
      </c>
      <c r="N88" s="28"/>
      <c r="O88" s="29">
        <f>IFERROR((N88-M88)*K88,0)</f>
      </c>
      <c r="P88" s="28">
        <v>237.76569037656904</v>
      </c>
      <c r="Q88" s="28">
        <v>369</v>
      </c>
      <c r="R88" s="28"/>
      <c r="S88" s="30">
        <f>IFERROR((P88/Q88)*R88,0)</f>
      </c>
      <c r="T88" s="30">
        <f>IFERROR((S88-P88)*((F88-G88)*0.8),0)</f>
      </c>
      <c r="U88" s="31">
        <f>ROUND(L88+O88-T88,2)</f>
      </c>
      <c r="V88" s="13">
        <v>0</v>
      </c>
      <c r="W88" s="14">
        <f>(U88-L88)*V88/100000</f>
      </c>
    </row>
    <row r="89" spans="1:23" x14ac:dyDescent="0.25">
      <c r="A89" s="15">
        <v>86</v>
      </c>
      <c r="B89" s="15">
        <f>D89&amp;H89</f>
      </c>
      <c r="C89" s="15" t="s">
        <v>421</v>
      </c>
      <c r="D89" s="15" t="s">
        <v>580</v>
      </c>
      <c r="E89" s="15" t="s">
        <v>573</v>
      </c>
      <c r="F89" s="15">
        <v>0.171</v>
      </c>
      <c r="G89" s="15">
        <v>0.151</v>
      </c>
      <c r="H89" s="15" t="s">
        <v>83</v>
      </c>
      <c r="I89" s="15" t="s">
        <v>38</v>
      </c>
      <c r="J89" s="15" t="s">
        <v>581</v>
      </c>
      <c r="K89" s="16">
        <f>F89*1.06</f>
      </c>
      <c r="L89" s="17">
        <v>123.59</v>
      </c>
      <c r="M89" s="32">
        <v>369</v>
      </c>
      <c r="N89" s="32"/>
      <c r="O89" s="33">
        <f>IFERROR((N89-M89)*K89,0)</f>
      </c>
      <c r="P89" s="32">
        <v>237.76569037656904</v>
      </c>
      <c r="Q89" s="32">
        <v>369</v>
      </c>
      <c r="R89" s="32"/>
      <c r="S89" s="34">
        <f>IFERROR((P89/Q89)*R89,0)</f>
      </c>
      <c r="T89" s="34">
        <f>IFERROR((S89-P89)*((F89-G89)*0.8),0)</f>
      </c>
      <c r="U89" s="35">
        <f>ROUND(L89+O89-T89,2)</f>
      </c>
      <c r="V89" s="21">
        <v>0</v>
      </c>
      <c r="W89" s="22">
        <f>(U89-L89)*V89/100000</f>
      </c>
    </row>
    <row r="90" spans="1:23" x14ac:dyDescent="0.25">
      <c r="A90" s="7">
        <v>87</v>
      </c>
      <c r="B90" s="7">
        <f>D90&amp;H90</f>
      </c>
      <c r="C90" s="7" t="s">
        <v>421</v>
      </c>
      <c r="D90" s="7" t="s">
        <v>40</v>
      </c>
      <c r="E90" s="7" t="s">
        <v>484</v>
      </c>
      <c r="F90" s="7">
        <v>1.182</v>
      </c>
      <c r="G90" s="7">
        <v>1.172</v>
      </c>
      <c r="H90" s="7" t="s">
        <v>83</v>
      </c>
      <c r="I90" s="7" t="s">
        <v>38</v>
      </c>
      <c r="J90" s="7" t="s">
        <v>582</v>
      </c>
      <c r="K90" s="8">
        <f>F90*1.06</f>
      </c>
      <c r="L90" s="9">
        <v>629.34</v>
      </c>
      <c r="M90" s="28">
        <v>369</v>
      </c>
      <c r="N90" s="28"/>
      <c r="O90" s="29">
        <f>IFERROR((N90-M90)*K90,0)</f>
      </c>
      <c r="P90" s="28">
        <v>237.76569037656904</v>
      </c>
      <c r="Q90" s="28">
        <v>369</v>
      </c>
      <c r="R90" s="28"/>
      <c r="S90" s="30">
        <f>IFERROR((P90/Q90)*R90,0)</f>
      </c>
      <c r="T90" s="30">
        <f>IFERROR((S90-P90)*((F90-G90)*0.8),0)</f>
      </c>
      <c r="U90" s="31">
        <f>ROUND(L90+O90-T90,2)</f>
      </c>
      <c r="V90" s="13">
        <v>0</v>
      </c>
      <c r="W90" s="14">
        <f>(U90-L90)*V90/100000</f>
      </c>
    </row>
    <row r="91" spans="1:23" x14ac:dyDescent="0.25">
      <c r="A91" s="15">
        <v>88</v>
      </c>
      <c r="B91" s="15">
        <f>D91&amp;H91</f>
      </c>
      <c r="C91" s="15" t="s">
        <v>421</v>
      </c>
      <c r="D91" s="15" t="s">
        <v>444</v>
      </c>
      <c r="E91" s="15" t="s">
        <v>445</v>
      </c>
      <c r="F91" s="15">
        <v>0.145</v>
      </c>
      <c r="G91" s="15">
        <v>0.145</v>
      </c>
      <c r="H91" s="15" t="s">
        <v>583</v>
      </c>
      <c r="I91" s="15" t="s">
        <v>71</v>
      </c>
      <c r="J91" s="15" t="s">
        <v>584</v>
      </c>
      <c r="K91" s="16">
        <f>F91*1.06</f>
      </c>
      <c r="L91" s="17">
        <v>89.68</v>
      </c>
      <c r="M91" s="32">
        <v>377</v>
      </c>
      <c r="N91" s="32"/>
      <c r="O91" s="33">
        <f>IFERROR((N91-M91)*K91,0)</f>
      </c>
      <c r="P91" s="37" t="s">
        <v>85</v>
      </c>
      <c r="Q91" s="37" t="s">
        <v>85</v>
      </c>
      <c r="R91" s="37" t="s">
        <v>85</v>
      </c>
      <c r="S91" s="37" t="s">
        <v>85</v>
      </c>
      <c r="T91" s="34">
        <v>0</v>
      </c>
      <c r="U91" s="35">
        <f>ROUND(L91+O91-T91,2)</f>
      </c>
      <c r="V91" s="21">
        <v>0</v>
      </c>
      <c r="W91" s="22">
        <f>(U91-L91)*V91/100000</f>
      </c>
    </row>
    <row r="92" spans="1:23" x14ac:dyDescent="0.25">
      <c r="A92" s="7">
        <v>89</v>
      </c>
      <c r="B92" s="7">
        <f>D92&amp;H92</f>
      </c>
      <c r="C92" s="7" t="s">
        <v>421</v>
      </c>
      <c r="D92" s="7" t="s">
        <v>444</v>
      </c>
      <c r="E92" s="7" t="s">
        <v>445</v>
      </c>
      <c r="F92" s="7">
        <v>0.145</v>
      </c>
      <c r="G92" s="7">
        <v>0.145</v>
      </c>
      <c r="H92" s="7" t="s">
        <v>585</v>
      </c>
      <c r="I92" s="7" t="s">
        <v>71</v>
      </c>
      <c r="J92" s="7" t="s">
        <v>586</v>
      </c>
      <c r="K92" s="8">
        <f>F92*1.06</f>
      </c>
      <c r="L92" s="9">
        <v>91.71</v>
      </c>
      <c r="M92" s="28">
        <v>377</v>
      </c>
      <c r="N92" s="28"/>
      <c r="O92" s="29">
        <f>IFERROR((N92-M92)*K92,0)</f>
      </c>
      <c r="P92" s="36" t="s">
        <v>85</v>
      </c>
      <c r="Q92" s="36" t="s">
        <v>85</v>
      </c>
      <c r="R92" s="36" t="s">
        <v>85</v>
      </c>
      <c r="S92" s="36" t="s">
        <v>85</v>
      </c>
      <c r="T92" s="30">
        <v>0</v>
      </c>
      <c r="U92" s="31">
        <f>ROUND(L92+O92-T92,2)</f>
      </c>
      <c r="V92" s="13">
        <v>0</v>
      </c>
      <c r="W92" s="14">
        <f>(U92-L92)*V92/100000</f>
      </c>
    </row>
    <row r="93" spans="1:23" x14ac:dyDescent="0.25">
      <c r="A93" s="25" t="s">
        <v>122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6">
        <f>SUM(V4:V92)</f>
      </c>
      <c r="W93" s="27">
        <f>SUM(W4:W92)</f>
      </c>
    </row>
  </sheetData>
  <autoFilter ref="A3:W92"/>
  <mergeCells count="3">
    <mergeCell ref="A1:W1"/>
    <mergeCell ref="A2:D2"/>
    <mergeCell ref="A93:U9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5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588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W53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589</v>
      </c>
      <c r="D4" s="7" t="s">
        <v>167</v>
      </c>
      <c r="E4" s="7" t="s">
        <v>82</v>
      </c>
      <c r="F4" s="7">
        <v>0.317</v>
      </c>
      <c r="G4" s="7">
        <v>0.279</v>
      </c>
      <c r="H4" s="7" t="s">
        <v>37</v>
      </c>
      <c r="I4" s="7" t="s">
        <v>38</v>
      </c>
      <c r="J4" s="7" t="s">
        <v>590</v>
      </c>
      <c r="K4" s="8">
        <f>F4*1.06</f>
      </c>
      <c r="L4" s="9">
        <v>181.5085</v>
      </c>
      <c r="M4" s="10">
        <v>239</v>
      </c>
      <c r="N4" s="10">
        <v>369</v>
      </c>
      <c r="O4" s="11">
        <f>IFERROR((N4-M4)*K4,0)</f>
      </c>
      <c r="P4" s="10">
        <v>154</v>
      </c>
      <c r="Q4" s="10">
        <v>239</v>
      </c>
      <c r="R4" s="10">
        <v>369</v>
      </c>
      <c r="S4" s="8">
        <f>IFERROR((P4/Q4)*R4,0)</f>
      </c>
      <c r="T4" s="8">
        <f>IFERROR((S4-P4)*((F4-G4)*0.8),0)</f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589</v>
      </c>
      <c r="D5" s="15" t="s">
        <v>591</v>
      </c>
      <c r="E5" s="15" t="s">
        <v>592</v>
      </c>
      <c r="F5" s="15">
        <v>1.047</v>
      </c>
      <c r="G5" s="15">
        <v>0.923</v>
      </c>
      <c r="H5" s="15" t="s">
        <v>37</v>
      </c>
      <c r="I5" s="15" t="s">
        <v>38</v>
      </c>
      <c r="J5" s="15" t="s">
        <v>593</v>
      </c>
      <c r="K5" s="16">
        <f>F5*1.06</f>
      </c>
      <c r="L5" s="17">
        <v>472.5903</v>
      </c>
      <c r="M5" s="18">
        <v>239</v>
      </c>
      <c r="N5" s="18">
        <v>369</v>
      </c>
      <c r="O5" s="19">
        <f>IFERROR((N5-M5)*K5,0)</f>
      </c>
      <c r="P5" s="18">
        <v>154</v>
      </c>
      <c r="Q5" s="18">
        <v>239</v>
      </c>
      <c r="R5" s="18">
        <v>369</v>
      </c>
      <c r="S5" s="16">
        <f>IFERROR((P5/Q5)*R5,0)</f>
      </c>
      <c r="T5" s="16">
        <f>IFERROR((S5-P5)*((F5-G5)*0.8),0)</f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589</v>
      </c>
      <c r="D6" s="7" t="s">
        <v>594</v>
      </c>
      <c r="E6" s="7" t="s">
        <v>592</v>
      </c>
      <c r="F6" s="7">
        <v>1.047</v>
      </c>
      <c r="G6" s="7">
        <v>0.946</v>
      </c>
      <c r="H6" s="7" t="s">
        <v>37</v>
      </c>
      <c r="I6" s="7" t="s">
        <v>38</v>
      </c>
      <c r="J6" s="7" t="s">
        <v>595</v>
      </c>
      <c r="K6" s="8">
        <f>F6*1.06</f>
      </c>
      <c r="L6" s="9">
        <v>476.5182</v>
      </c>
      <c r="M6" s="10">
        <v>239</v>
      </c>
      <c r="N6" s="10">
        <v>369</v>
      </c>
      <c r="O6" s="11">
        <f>IFERROR((N6-M6)*K6,0)</f>
      </c>
      <c r="P6" s="10">
        <v>154</v>
      </c>
      <c r="Q6" s="10">
        <v>239</v>
      </c>
      <c r="R6" s="10">
        <v>369</v>
      </c>
      <c r="S6" s="8">
        <f>IFERROR((P6/Q6)*R6,0)</f>
      </c>
      <c r="T6" s="8">
        <f>IFERROR((S6-P6)*((F6-G6)*0.8),0)</f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589</v>
      </c>
      <c r="D7" s="15" t="s">
        <v>596</v>
      </c>
      <c r="E7" s="15" t="s">
        <v>41</v>
      </c>
      <c r="F7" s="15">
        <v>1.036</v>
      </c>
      <c r="G7" s="15">
        <v>1.036</v>
      </c>
      <c r="H7" s="15" t="s">
        <v>37</v>
      </c>
      <c r="I7" s="15" t="s">
        <v>38</v>
      </c>
      <c r="J7" s="15" t="s">
        <v>597</v>
      </c>
      <c r="K7" s="16">
        <f>F7*1.06</f>
      </c>
      <c r="L7" s="17">
        <v>398.4601</v>
      </c>
      <c r="M7" s="18">
        <v>239</v>
      </c>
      <c r="N7" s="18">
        <v>369</v>
      </c>
      <c r="O7" s="19">
        <f>IFERROR((N7-M7)*K7,0)</f>
      </c>
      <c r="P7" s="24" t="s">
        <v>85</v>
      </c>
      <c r="Q7" s="24" t="s">
        <v>85</v>
      </c>
      <c r="R7" s="24" t="s">
        <v>85</v>
      </c>
      <c r="S7" s="24" t="s">
        <v>85</v>
      </c>
      <c r="T7" s="16">
        <v>0</v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589</v>
      </c>
      <c r="D8" s="7" t="s">
        <v>598</v>
      </c>
      <c r="E8" s="7" t="s">
        <v>41</v>
      </c>
      <c r="F8" s="7">
        <v>1.04728</v>
      </c>
      <c r="G8" s="7">
        <v>0.931</v>
      </c>
      <c r="H8" s="7" t="s">
        <v>37</v>
      </c>
      <c r="I8" s="7" t="s">
        <v>38</v>
      </c>
      <c r="J8" s="7" t="s">
        <v>599</v>
      </c>
      <c r="K8" s="8">
        <f>F8*1.06</f>
      </c>
      <c r="L8" s="9">
        <v>435.0405</v>
      </c>
      <c r="M8" s="10">
        <v>239</v>
      </c>
      <c r="N8" s="10">
        <v>369</v>
      </c>
      <c r="O8" s="11">
        <f>IFERROR((N8-M8)*K8,0)</f>
      </c>
      <c r="P8" s="10">
        <v>154</v>
      </c>
      <c r="Q8" s="10">
        <v>239</v>
      </c>
      <c r="R8" s="10">
        <v>369</v>
      </c>
      <c r="S8" s="8">
        <f>IFERROR((P8/Q8)*R8,0)</f>
      </c>
      <c r="T8" s="8">
        <f>IFERROR((S8-P8)*((F8-G8)*0.8),0)</f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589</v>
      </c>
      <c r="D9" s="15" t="s">
        <v>600</v>
      </c>
      <c r="E9" s="15" t="s">
        <v>601</v>
      </c>
      <c r="F9" s="15">
        <v>1.038</v>
      </c>
      <c r="G9" s="15">
        <v>1.038</v>
      </c>
      <c r="H9" s="15" t="s">
        <v>54</v>
      </c>
      <c r="I9" s="15" t="s">
        <v>38</v>
      </c>
      <c r="J9" s="15" t="s">
        <v>602</v>
      </c>
      <c r="K9" s="16">
        <f>F9*1.06</f>
      </c>
      <c r="L9" s="17">
        <v>379.4535</v>
      </c>
      <c r="M9" s="18">
        <v>239</v>
      </c>
      <c r="N9" s="18">
        <v>369</v>
      </c>
      <c r="O9" s="19">
        <f>IFERROR((N9-M9)*K9,0)</f>
      </c>
      <c r="P9" s="24" t="s">
        <v>85</v>
      </c>
      <c r="Q9" s="24" t="s">
        <v>85</v>
      </c>
      <c r="R9" s="24" t="s">
        <v>85</v>
      </c>
      <c r="S9" s="24" t="s">
        <v>85</v>
      </c>
      <c r="T9" s="16">
        <v>0</v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589</v>
      </c>
      <c r="D10" s="7" t="s">
        <v>591</v>
      </c>
      <c r="E10" s="7" t="s">
        <v>592</v>
      </c>
      <c r="F10" s="7">
        <v>1.047</v>
      </c>
      <c r="G10" s="7">
        <v>0.923</v>
      </c>
      <c r="H10" s="7" t="s">
        <v>54</v>
      </c>
      <c r="I10" s="7" t="s">
        <v>38</v>
      </c>
      <c r="J10" s="7" t="s">
        <v>603</v>
      </c>
      <c r="K10" s="8">
        <f>F10*1.06</f>
      </c>
      <c r="L10" s="9">
        <v>460.7403</v>
      </c>
      <c r="M10" s="10">
        <v>239</v>
      </c>
      <c r="N10" s="10">
        <v>369</v>
      </c>
      <c r="O10" s="11">
        <f>IFERROR((N10-M10)*K10,0)</f>
      </c>
      <c r="P10" s="10">
        <v>154</v>
      </c>
      <c r="Q10" s="10">
        <v>239</v>
      </c>
      <c r="R10" s="10">
        <v>369</v>
      </c>
      <c r="S10" s="8">
        <f>IFERROR((P10/Q10)*R10,0)</f>
      </c>
      <c r="T10" s="8">
        <f>IFERROR((S10-P10)*((F10-G10)*0.8),0)</f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589</v>
      </c>
      <c r="D11" s="15" t="s">
        <v>604</v>
      </c>
      <c r="E11" s="15" t="s">
        <v>592</v>
      </c>
      <c r="F11" s="15">
        <v>1.047</v>
      </c>
      <c r="G11" s="15">
        <v>0.943</v>
      </c>
      <c r="H11" s="15" t="s">
        <v>54</v>
      </c>
      <c r="I11" s="15" t="s">
        <v>38</v>
      </c>
      <c r="J11" s="15" t="s">
        <v>605</v>
      </c>
      <c r="K11" s="16">
        <f>F11*1.06</f>
      </c>
      <c r="L11" s="17">
        <v>462.2138</v>
      </c>
      <c r="M11" s="18">
        <v>239</v>
      </c>
      <c r="N11" s="18">
        <v>369</v>
      </c>
      <c r="O11" s="19">
        <f>IFERROR((N11-M11)*K11,0)</f>
      </c>
      <c r="P11" s="18">
        <v>154</v>
      </c>
      <c r="Q11" s="18">
        <v>239</v>
      </c>
      <c r="R11" s="18">
        <v>369</v>
      </c>
      <c r="S11" s="16">
        <f>IFERROR((P11/Q11)*R11,0)</f>
      </c>
      <c r="T11" s="16">
        <f>IFERROR((S11-P11)*((F11-G11)*0.8),0)</f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589</v>
      </c>
      <c r="D12" s="7" t="s">
        <v>606</v>
      </c>
      <c r="E12" s="7" t="s">
        <v>607</v>
      </c>
      <c r="F12" s="7">
        <v>0.915</v>
      </c>
      <c r="G12" s="7">
        <v>0.825</v>
      </c>
      <c r="H12" s="7" t="s">
        <v>54</v>
      </c>
      <c r="I12" s="7" t="s">
        <v>38</v>
      </c>
      <c r="J12" s="7" t="s">
        <v>608</v>
      </c>
      <c r="K12" s="8">
        <f>F12*1.06</f>
      </c>
      <c r="L12" s="9">
        <v>436.3989</v>
      </c>
      <c r="M12" s="10">
        <v>239</v>
      </c>
      <c r="N12" s="10">
        <v>369</v>
      </c>
      <c r="O12" s="11">
        <f>IFERROR((N12-M12)*K12,0)</f>
      </c>
      <c r="P12" s="10">
        <v>154</v>
      </c>
      <c r="Q12" s="10">
        <v>239</v>
      </c>
      <c r="R12" s="10">
        <v>369</v>
      </c>
      <c r="S12" s="8">
        <f>IFERROR((P12/Q12)*R12,0)</f>
      </c>
      <c r="T12" s="8">
        <f>IFERROR((S12-P12)*((F12-G12)*0.8),0)</f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589</v>
      </c>
      <c r="D13" s="15" t="s">
        <v>594</v>
      </c>
      <c r="E13" s="15" t="s">
        <v>592</v>
      </c>
      <c r="F13" s="15">
        <v>1.047</v>
      </c>
      <c r="G13" s="15">
        <v>0.946</v>
      </c>
      <c r="H13" s="15" t="s">
        <v>54</v>
      </c>
      <c r="I13" s="15" t="s">
        <v>38</v>
      </c>
      <c r="J13" s="15" t="s">
        <v>609</v>
      </c>
      <c r="K13" s="16">
        <f>F13*1.06</f>
      </c>
      <c r="L13" s="17">
        <v>461.0782</v>
      </c>
      <c r="M13" s="18">
        <v>239</v>
      </c>
      <c r="N13" s="18">
        <v>369</v>
      </c>
      <c r="O13" s="19">
        <f>IFERROR((N13-M13)*K13,0)</f>
      </c>
      <c r="P13" s="18">
        <v>154</v>
      </c>
      <c r="Q13" s="18">
        <v>239</v>
      </c>
      <c r="R13" s="18">
        <v>369</v>
      </c>
      <c r="S13" s="16">
        <f>IFERROR((P13/Q13)*R13,0)</f>
      </c>
      <c r="T13" s="16">
        <f>IFERROR((S13-P13)*((F13-G13)*0.8),0)</f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589</v>
      </c>
      <c r="D14" s="7" t="s">
        <v>591</v>
      </c>
      <c r="E14" s="7" t="s">
        <v>592</v>
      </c>
      <c r="F14" s="7">
        <v>1.047</v>
      </c>
      <c r="G14" s="7">
        <v>0.923</v>
      </c>
      <c r="H14" s="7" t="s">
        <v>70</v>
      </c>
      <c r="I14" s="7" t="s">
        <v>38</v>
      </c>
      <c r="J14" s="7" t="s">
        <v>610</v>
      </c>
      <c r="K14" s="8">
        <f>F14*1.06</f>
      </c>
      <c r="L14" s="9">
        <v>465.5703</v>
      </c>
      <c r="M14" s="10">
        <v>239</v>
      </c>
      <c r="N14" s="10">
        <v>369</v>
      </c>
      <c r="O14" s="11">
        <f>IFERROR((N14-M14)*K14,0)</f>
      </c>
      <c r="P14" s="10">
        <v>154</v>
      </c>
      <c r="Q14" s="10">
        <v>239</v>
      </c>
      <c r="R14" s="10">
        <v>369</v>
      </c>
      <c r="S14" s="8">
        <f>IFERROR((P14/Q14)*R14,0)</f>
      </c>
      <c r="T14" s="8">
        <f>IFERROR((S14-P14)*((F14-G14)*0.8),0)</f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589</v>
      </c>
      <c r="D15" s="15" t="s">
        <v>167</v>
      </c>
      <c r="E15" s="15" t="s">
        <v>82</v>
      </c>
      <c r="F15" s="15">
        <v>0.317</v>
      </c>
      <c r="G15" s="15">
        <v>0.279</v>
      </c>
      <c r="H15" s="15" t="s">
        <v>70</v>
      </c>
      <c r="I15" s="15" t="s">
        <v>38</v>
      </c>
      <c r="J15" s="15" t="s">
        <v>611</v>
      </c>
      <c r="K15" s="16">
        <f>F15*1.06</f>
      </c>
      <c r="L15" s="17">
        <v>185.4485</v>
      </c>
      <c r="M15" s="18">
        <v>239</v>
      </c>
      <c r="N15" s="18">
        <v>369</v>
      </c>
      <c r="O15" s="19">
        <f>IFERROR((N15-M15)*K15,0)</f>
      </c>
      <c r="P15" s="18">
        <v>154</v>
      </c>
      <c r="Q15" s="18">
        <v>239</v>
      </c>
      <c r="R15" s="18">
        <v>369</v>
      </c>
      <c r="S15" s="16">
        <f>IFERROR((P15/Q15)*R15,0)</f>
      </c>
      <c r="T15" s="16">
        <f>IFERROR((S15-P15)*((F15-G15)*0.8),0)</f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589</v>
      </c>
      <c r="D16" s="7" t="s">
        <v>307</v>
      </c>
      <c r="E16" s="7" t="s">
        <v>82</v>
      </c>
      <c r="F16" s="7">
        <v>0.317</v>
      </c>
      <c r="G16" s="7">
        <v>0.279</v>
      </c>
      <c r="H16" s="7" t="s">
        <v>70</v>
      </c>
      <c r="I16" s="7" t="s">
        <v>38</v>
      </c>
      <c r="J16" s="7" t="s">
        <v>612</v>
      </c>
      <c r="K16" s="8">
        <f>F16*1.06</f>
      </c>
      <c r="L16" s="9">
        <v>182.9285</v>
      </c>
      <c r="M16" s="10">
        <v>239</v>
      </c>
      <c r="N16" s="10">
        <v>369</v>
      </c>
      <c r="O16" s="11">
        <f>IFERROR((N16-M16)*K16,0)</f>
      </c>
      <c r="P16" s="10">
        <v>154</v>
      </c>
      <c r="Q16" s="10">
        <v>239</v>
      </c>
      <c r="R16" s="10">
        <v>369</v>
      </c>
      <c r="S16" s="8">
        <f>IFERROR((P16/Q16)*R16,0)</f>
      </c>
      <c r="T16" s="8">
        <f>IFERROR((S16-P16)*((F16-G16)*0.8),0)</f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589</v>
      </c>
      <c r="D17" s="15" t="s">
        <v>304</v>
      </c>
      <c r="E17" s="15" t="s">
        <v>305</v>
      </c>
      <c r="F17" s="15">
        <v>0.317</v>
      </c>
      <c r="G17" s="15">
        <v>0.272</v>
      </c>
      <c r="H17" s="15" t="s">
        <v>70</v>
      </c>
      <c r="I17" s="15" t="s">
        <v>38</v>
      </c>
      <c r="J17" s="15" t="s">
        <v>613</v>
      </c>
      <c r="K17" s="16">
        <f>F17*1.06</f>
      </c>
      <c r="L17" s="17">
        <v>185.4485</v>
      </c>
      <c r="M17" s="18">
        <v>239</v>
      </c>
      <c r="N17" s="18">
        <v>369</v>
      </c>
      <c r="O17" s="19">
        <f>IFERROR((N17-M17)*K17,0)</f>
      </c>
      <c r="P17" s="18">
        <v>154</v>
      </c>
      <c r="Q17" s="18">
        <v>239</v>
      </c>
      <c r="R17" s="18">
        <v>369</v>
      </c>
      <c r="S17" s="16">
        <f>IFERROR((P17/Q17)*R17,0)</f>
      </c>
      <c r="T17" s="16">
        <f>IFERROR((S17-P17)*((F17-G17)*0.8),0)</f>
      </c>
      <c r="U17" s="20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589</v>
      </c>
      <c r="D18" s="7" t="s">
        <v>614</v>
      </c>
      <c r="E18" s="7" t="s">
        <v>615</v>
      </c>
      <c r="F18" s="7">
        <v>0.317</v>
      </c>
      <c r="G18" s="7">
        <v>0.268</v>
      </c>
      <c r="H18" s="7" t="s">
        <v>70</v>
      </c>
      <c r="I18" s="7" t="s">
        <v>38</v>
      </c>
      <c r="J18" s="7" t="s">
        <v>616</v>
      </c>
      <c r="K18" s="8">
        <f>F18*1.06</f>
      </c>
      <c r="L18" s="9">
        <v>183.8385</v>
      </c>
      <c r="M18" s="10">
        <v>239</v>
      </c>
      <c r="N18" s="10">
        <v>369</v>
      </c>
      <c r="O18" s="11">
        <f>IFERROR((N18-M18)*K18,0)</f>
      </c>
      <c r="P18" s="10">
        <v>154</v>
      </c>
      <c r="Q18" s="10">
        <v>239</v>
      </c>
      <c r="R18" s="10">
        <v>369</v>
      </c>
      <c r="S18" s="8">
        <f>IFERROR((P18/Q18)*R18,0)</f>
      </c>
      <c r="T18" s="8">
        <f>IFERROR((S18-P18)*((F18-G18)*0.8),0)</f>
      </c>
      <c r="U18" s="12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589</v>
      </c>
      <c r="D19" s="15" t="s">
        <v>617</v>
      </c>
      <c r="E19" s="15" t="s">
        <v>618</v>
      </c>
      <c r="F19" s="15">
        <v>0.731</v>
      </c>
      <c r="G19" s="15">
        <v>0.61</v>
      </c>
      <c r="H19" s="15" t="s">
        <v>70</v>
      </c>
      <c r="I19" s="15" t="s">
        <v>38</v>
      </c>
      <c r="J19" s="15" t="s">
        <v>619</v>
      </c>
      <c r="K19" s="16">
        <f>F19*1.06</f>
      </c>
      <c r="L19" s="17">
        <v>294.4278</v>
      </c>
      <c r="M19" s="18">
        <v>239</v>
      </c>
      <c r="N19" s="18">
        <v>369</v>
      </c>
      <c r="O19" s="19">
        <f>IFERROR((N19-M19)*K19,0)</f>
      </c>
      <c r="P19" s="18">
        <v>154</v>
      </c>
      <c r="Q19" s="18">
        <v>239</v>
      </c>
      <c r="R19" s="18">
        <v>369</v>
      </c>
      <c r="S19" s="16">
        <f>IFERROR((P19/Q19)*R19,0)</f>
      </c>
      <c r="T19" s="16">
        <f>IFERROR((S19-P19)*((F19-G19)*0.8),0)</f>
      </c>
      <c r="U19" s="20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589</v>
      </c>
      <c r="D20" s="7" t="s">
        <v>620</v>
      </c>
      <c r="E20" s="7" t="s">
        <v>621</v>
      </c>
      <c r="F20" s="7">
        <v>1.363</v>
      </c>
      <c r="G20" s="7">
        <v>1.363</v>
      </c>
      <c r="H20" s="7" t="s">
        <v>154</v>
      </c>
      <c r="I20" s="7" t="s">
        <v>46</v>
      </c>
      <c r="J20" s="7" t="s">
        <v>622</v>
      </c>
      <c r="K20" s="8">
        <f>F20*1.06</f>
      </c>
      <c r="L20" s="9">
        <v>569.9462</v>
      </c>
      <c r="M20" s="10">
        <v>250</v>
      </c>
      <c r="N20" s="10">
        <v>381</v>
      </c>
      <c r="O20" s="11">
        <f>IFERROR((N20-M20)*K20,0)</f>
      </c>
      <c r="P20" s="23" t="s">
        <v>85</v>
      </c>
      <c r="Q20" s="23" t="s">
        <v>85</v>
      </c>
      <c r="R20" s="23" t="s">
        <v>85</v>
      </c>
      <c r="S20" s="23" t="s">
        <v>85</v>
      </c>
      <c r="T20" s="8">
        <v>0</v>
      </c>
      <c r="U20" s="12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589</v>
      </c>
      <c r="D21" s="15" t="s">
        <v>600</v>
      </c>
      <c r="E21" s="15" t="s">
        <v>601</v>
      </c>
      <c r="F21" s="15">
        <v>1.038</v>
      </c>
      <c r="G21" s="15">
        <v>1.038</v>
      </c>
      <c r="H21" s="15" t="s">
        <v>154</v>
      </c>
      <c r="I21" s="15" t="s">
        <v>38</v>
      </c>
      <c r="J21" s="15" t="s">
        <v>623</v>
      </c>
      <c r="K21" s="16">
        <f>F21*1.06</f>
      </c>
      <c r="L21" s="17">
        <v>363.9235</v>
      </c>
      <c r="M21" s="18">
        <v>239</v>
      </c>
      <c r="N21" s="18">
        <v>369</v>
      </c>
      <c r="O21" s="19">
        <f>IFERROR((N21-M21)*K21,0)</f>
      </c>
      <c r="P21" s="24" t="s">
        <v>85</v>
      </c>
      <c r="Q21" s="24" t="s">
        <v>85</v>
      </c>
      <c r="R21" s="24" t="s">
        <v>85</v>
      </c>
      <c r="S21" s="24" t="s">
        <v>85</v>
      </c>
      <c r="T21" s="16">
        <v>0</v>
      </c>
      <c r="U21" s="20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589</v>
      </c>
      <c r="D22" s="7" t="s">
        <v>614</v>
      </c>
      <c r="E22" s="7" t="s">
        <v>615</v>
      </c>
      <c r="F22" s="7">
        <v>0.317</v>
      </c>
      <c r="G22" s="7">
        <v>0.268</v>
      </c>
      <c r="H22" s="7" t="s">
        <v>83</v>
      </c>
      <c r="I22" s="7" t="s">
        <v>38</v>
      </c>
      <c r="J22" s="7" t="s">
        <v>624</v>
      </c>
      <c r="K22" s="8">
        <f>F22*1.06</f>
      </c>
      <c r="L22" s="9">
        <v>185.0385</v>
      </c>
      <c r="M22" s="10">
        <v>239</v>
      </c>
      <c r="N22" s="10">
        <v>369</v>
      </c>
      <c r="O22" s="11">
        <f>IFERROR((N22-M22)*K22,0)</f>
      </c>
      <c r="P22" s="10">
        <v>154</v>
      </c>
      <c r="Q22" s="10">
        <v>239</v>
      </c>
      <c r="R22" s="10">
        <v>369</v>
      </c>
      <c r="S22" s="8">
        <f>IFERROR((P22/Q22)*R22,0)</f>
      </c>
      <c r="T22" s="8">
        <f>IFERROR((S22-P22)*((F22-G22)*0.8),0)</f>
      </c>
      <c r="U22" s="12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589</v>
      </c>
      <c r="D23" s="15" t="s">
        <v>604</v>
      </c>
      <c r="E23" s="15" t="s">
        <v>592</v>
      </c>
      <c r="F23" s="15">
        <v>1.047</v>
      </c>
      <c r="G23" s="15">
        <v>0.943</v>
      </c>
      <c r="H23" s="15" t="s">
        <v>83</v>
      </c>
      <c r="I23" s="15" t="s">
        <v>38</v>
      </c>
      <c r="J23" s="15" t="s">
        <v>625</v>
      </c>
      <c r="K23" s="16">
        <f>F23*1.06</f>
      </c>
      <c r="L23" s="17">
        <v>462.2238</v>
      </c>
      <c r="M23" s="18">
        <v>239</v>
      </c>
      <c r="N23" s="18">
        <v>369</v>
      </c>
      <c r="O23" s="19">
        <f>IFERROR((N23-M23)*K23,0)</f>
      </c>
      <c r="P23" s="18">
        <v>154</v>
      </c>
      <c r="Q23" s="18">
        <v>239</v>
      </c>
      <c r="R23" s="18">
        <v>369</v>
      </c>
      <c r="S23" s="16">
        <f>IFERROR((P23/Q23)*R23,0)</f>
      </c>
      <c r="T23" s="16">
        <f>IFERROR((S23-P23)*((F23-G23)*0.8),0)</f>
      </c>
      <c r="U23" s="20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589</v>
      </c>
      <c r="D24" s="7" t="s">
        <v>591</v>
      </c>
      <c r="E24" s="7" t="s">
        <v>592</v>
      </c>
      <c r="F24" s="7">
        <v>1.047</v>
      </c>
      <c r="G24" s="7">
        <v>0.923</v>
      </c>
      <c r="H24" s="7" t="s">
        <v>83</v>
      </c>
      <c r="I24" s="7" t="s">
        <v>38</v>
      </c>
      <c r="J24" s="7" t="s">
        <v>626</v>
      </c>
      <c r="K24" s="8">
        <f>F24*1.06</f>
      </c>
      <c r="L24" s="9">
        <v>460.7403</v>
      </c>
      <c r="M24" s="10">
        <v>239</v>
      </c>
      <c r="N24" s="10">
        <v>369</v>
      </c>
      <c r="O24" s="11">
        <f>IFERROR((N24-M24)*K24,0)</f>
      </c>
      <c r="P24" s="10">
        <v>154</v>
      </c>
      <c r="Q24" s="10">
        <v>239</v>
      </c>
      <c r="R24" s="10">
        <v>369</v>
      </c>
      <c r="S24" s="8">
        <f>IFERROR((P24/Q24)*R24,0)</f>
      </c>
      <c r="T24" s="8">
        <f>IFERROR((S24-P24)*((F24-G24)*0.8),0)</f>
      </c>
      <c r="U24" s="12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589</v>
      </c>
      <c r="D25" s="15" t="s">
        <v>627</v>
      </c>
      <c r="E25" s="15" t="s">
        <v>628</v>
      </c>
      <c r="F25" s="15">
        <v>0.296</v>
      </c>
      <c r="G25" s="15">
        <v>0.25</v>
      </c>
      <c r="H25" s="15" t="s">
        <v>83</v>
      </c>
      <c r="I25" s="15" t="s">
        <v>38</v>
      </c>
      <c r="J25" s="15" t="s">
        <v>629</v>
      </c>
      <c r="K25" s="16">
        <f>F25*1.06</f>
      </c>
      <c r="L25" s="17">
        <v>145.0594</v>
      </c>
      <c r="M25" s="18">
        <v>239</v>
      </c>
      <c r="N25" s="18">
        <v>369</v>
      </c>
      <c r="O25" s="19">
        <f>IFERROR((N25-M25)*K25,0)</f>
      </c>
      <c r="P25" s="18">
        <v>154</v>
      </c>
      <c r="Q25" s="18">
        <v>239</v>
      </c>
      <c r="R25" s="18">
        <v>369</v>
      </c>
      <c r="S25" s="16">
        <f>IFERROR((P25/Q25)*R25,0)</f>
      </c>
      <c r="T25" s="16">
        <f>IFERROR((S25-P25)*((F25-G25)*0.8),0)</f>
      </c>
      <c r="U25" s="20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589</v>
      </c>
      <c r="D26" s="7" t="s">
        <v>630</v>
      </c>
      <c r="E26" s="7" t="s">
        <v>631</v>
      </c>
      <c r="F26" s="7">
        <v>0.434</v>
      </c>
      <c r="G26" s="7">
        <v>0.38</v>
      </c>
      <c r="H26" s="7" t="s">
        <v>83</v>
      </c>
      <c r="I26" s="7" t="s">
        <v>38</v>
      </c>
      <c r="J26" s="7" t="s">
        <v>632</v>
      </c>
      <c r="K26" s="8">
        <f>F26*1.06</f>
      </c>
      <c r="L26" s="9">
        <v>262.6377</v>
      </c>
      <c r="M26" s="10">
        <v>239</v>
      </c>
      <c r="N26" s="10">
        <v>369</v>
      </c>
      <c r="O26" s="11">
        <f>IFERROR((N26-M26)*K26,0)</f>
      </c>
      <c r="P26" s="10">
        <v>154</v>
      </c>
      <c r="Q26" s="10">
        <v>239</v>
      </c>
      <c r="R26" s="10">
        <v>369</v>
      </c>
      <c r="S26" s="8">
        <f>IFERROR((P26/Q26)*R26,0)</f>
      </c>
      <c r="T26" s="8">
        <f>IFERROR((S26-P26)*((F26-G26)*0.8),0)</f>
      </c>
      <c r="U26" s="12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589</v>
      </c>
      <c r="D27" s="15" t="s">
        <v>617</v>
      </c>
      <c r="E27" s="15" t="s">
        <v>618</v>
      </c>
      <c r="F27" s="15">
        <v>0.731</v>
      </c>
      <c r="G27" s="15">
        <v>0.61</v>
      </c>
      <c r="H27" s="15" t="s">
        <v>83</v>
      </c>
      <c r="I27" s="15" t="s">
        <v>38</v>
      </c>
      <c r="J27" s="15" t="s">
        <v>633</v>
      </c>
      <c r="K27" s="16">
        <f>F27*1.06</f>
      </c>
      <c r="L27" s="17">
        <v>341.3178</v>
      </c>
      <c r="M27" s="18">
        <v>239</v>
      </c>
      <c r="N27" s="18">
        <v>369</v>
      </c>
      <c r="O27" s="19">
        <f>IFERROR((N27-M27)*K27,0)</f>
      </c>
      <c r="P27" s="18">
        <v>154</v>
      </c>
      <c r="Q27" s="18">
        <v>239</v>
      </c>
      <c r="R27" s="18">
        <v>369</v>
      </c>
      <c r="S27" s="16">
        <f>IFERROR((P27/Q27)*R27,0)</f>
      </c>
      <c r="T27" s="16">
        <f>IFERROR((S27-P27)*((F27-G27)*0.8),0)</f>
      </c>
      <c r="U27" s="20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589</v>
      </c>
      <c r="D28" s="7" t="s">
        <v>634</v>
      </c>
      <c r="E28" s="7" t="s">
        <v>635</v>
      </c>
      <c r="F28" s="7">
        <v>0.296</v>
      </c>
      <c r="G28" s="7">
        <v>0.25</v>
      </c>
      <c r="H28" s="7" t="s">
        <v>83</v>
      </c>
      <c r="I28" s="7" t="s">
        <v>38</v>
      </c>
      <c r="J28" s="7" t="s">
        <v>636</v>
      </c>
      <c r="K28" s="8">
        <f>F28*1.06</f>
      </c>
      <c r="L28" s="9">
        <v>145.0594</v>
      </c>
      <c r="M28" s="10">
        <v>239</v>
      </c>
      <c r="N28" s="10">
        <v>369</v>
      </c>
      <c r="O28" s="11">
        <f>IFERROR((N28-M28)*K28,0)</f>
      </c>
      <c r="P28" s="10">
        <v>154</v>
      </c>
      <c r="Q28" s="10">
        <v>239</v>
      </c>
      <c r="R28" s="10">
        <v>369</v>
      </c>
      <c r="S28" s="8">
        <f>IFERROR((P28/Q28)*R28,0)</f>
      </c>
      <c r="T28" s="8">
        <f>IFERROR((S28-P28)*((F28-G28)*0.8),0)</f>
      </c>
      <c r="U28" s="12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589</v>
      </c>
      <c r="D29" s="15" t="s">
        <v>459</v>
      </c>
      <c r="E29" s="15" t="s">
        <v>460</v>
      </c>
      <c r="F29" s="15">
        <v>1.052</v>
      </c>
      <c r="G29" s="15">
        <v>1.032</v>
      </c>
      <c r="H29" s="15" t="s">
        <v>83</v>
      </c>
      <c r="I29" s="15" t="s">
        <v>71</v>
      </c>
      <c r="J29" s="15" t="s">
        <v>637</v>
      </c>
      <c r="K29" s="16">
        <f>F29*1.06</f>
      </c>
      <c r="L29" s="17">
        <v>394.5016</v>
      </c>
      <c r="M29" s="18">
        <v>231</v>
      </c>
      <c r="N29" s="18">
        <v>377</v>
      </c>
      <c r="O29" s="19">
        <f>IFERROR((N29-M29)*K29,0)</f>
      </c>
      <c r="P29" s="18">
        <v>154</v>
      </c>
      <c r="Q29" s="18">
        <v>239</v>
      </c>
      <c r="R29" s="18">
        <v>369</v>
      </c>
      <c r="S29" s="16">
        <f>IFERROR((P29/Q29)*R29,0)</f>
      </c>
      <c r="T29" s="16">
        <f>IFERROR((S29-P29)*((F29-G29)*0.8),0)</f>
      </c>
      <c r="U29" s="20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589</v>
      </c>
      <c r="D30" s="7" t="s">
        <v>638</v>
      </c>
      <c r="E30" s="7" t="s">
        <v>41</v>
      </c>
      <c r="F30" s="7">
        <v>1.023</v>
      </c>
      <c r="G30" s="7">
        <v>1.023</v>
      </c>
      <c r="H30" s="7" t="s">
        <v>83</v>
      </c>
      <c r="I30" s="7" t="s">
        <v>38</v>
      </c>
      <c r="J30" s="7" t="s">
        <v>639</v>
      </c>
      <c r="K30" s="8">
        <f>F30*1.06</f>
      </c>
      <c r="L30" s="9">
        <v>411.0384</v>
      </c>
      <c r="M30" s="10">
        <v>239</v>
      </c>
      <c r="N30" s="10">
        <v>369</v>
      </c>
      <c r="O30" s="11">
        <f>IFERROR((N30-M30)*K30,0)</f>
      </c>
      <c r="P30" s="23" t="s">
        <v>85</v>
      </c>
      <c r="Q30" s="23" t="s">
        <v>85</v>
      </c>
      <c r="R30" s="23" t="s">
        <v>85</v>
      </c>
      <c r="S30" s="23" t="s">
        <v>85</v>
      </c>
      <c r="T30" s="8">
        <v>0</v>
      </c>
      <c r="U30" s="12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589</v>
      </c>
      <c r="D31" s="15" t="s">
        <v>596</v>
      </c>
      <c r="E31" s="15" t="s">
        <v>41</v>
      </c>
      <c r="F31" s="15">
        <v>1.036</v>
      </c>
      <c r="G31" s="15">
        <v>1.036</v>
      </c>
      <c r="H31" s="15" t="s">
        <v>83</v>
      </c>
      <c r="I31" s="15" t="s">
        <v>38</v>
      </c>
      <c r="J31" s="15" t="s">
        <v>640</v>
      </c>
      <c r="K31" s="16">
        <f>F31*1.06</f>
      </c>
      <c r="L31" s="17">
        <v>415.1901</v>
      </c>
      <c r="M31" s="18">
        <v>239</v>
      </c>
      <c r="N31" s="18">
        <v>369</v>
      </c>
      <c r="O31" s="19">
        <f>IFERROR((N31-M31)*K31,0)</f>
      </c>
      <c r="P31" s="24" t="s">
        <v>85</v>
      </c>
      <c r="Q31" s="24" t="s">
        <v>85</v>
      </c>
      <c r="R31" s="24" t="s">
        <v>85</v>
      </c>
      <c r="S31" s="24" t="s">
        <v>85</v>
      </c>
      <c r="T31" s="16">
        <v>0</v>
      </c>
      <c r="U31" s="20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589</v>
      </c>
      <c r="D32" s="7" t="s">
        <v>532</v>
      </c>
      <c r="E32" s="7" t="s">
        <v>432</v>
      </c>
      <c r="F32" s="7">
        <v>0.716</v>
      </c>
      <c r="G32" s="7">
        <v>0.669</v>
      </c>
      <c r="H32" s="7" t="s">
        <v>83</v>
      </c>
      <c r="I32" s="7" t="s">
        <v>38</v>
      </c>
      <c r="J32" s="7" t="s">
        <v>641</v>
      </c>
      <c r="K32" s="8">
        <f>F32*1.06</f>
      </c>
      <c r="L32" s="9">
        <v>313.1756</v>
      </c>
      <c r="M32" s="10">
        <v>239</v>
      </c>
      <c r="N32" s="10">
        <v>369</v>
      </c>
      <c r="O32" s="11">
        <f>IFERROR((N32-M32)*K32,0)</f>
      </c>
      <c r="P32" s="10">
        <v>154</v>
      </c>
      <c r="Q32" s="10">
        <v>239</v>
      </c>
      <c r="R32" s="10">
        <v>369</v>
      </c>
      <c r="S32" s="8">
        <f>IFERROR((P32/Q32)*R32,0)</f>
      </c>
      <c r="T32" s="8">
        <f>IFERROR((S32-P32)*((F32-G32)*0.8),0)</f>
      </c>
      <c r="U32" s="12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589</v>
      </c>
      <c r="D33" s="15" t="s">
        <v>167</v>
      </c>
      <c r="E33" s="15" t="s">
        <v>82</v>
      </c>
      <c r="F33" s="15">
        <v>0.317</v>
      </c>
      <c r="G33" s="15">
        <v>0.279</v>
      </c>
      <c r="H33" s="15" t="s">
        <v>83</v>
      </c>
      <c r="I33" s="15" t="s">
        <v>38</v>
      </c>
      <c r="J33" s="15" t="s">
        <v>642</v>
      </c>
      <c r="K33" s="16">
        <f>F33*1.06</f>
      </c>
      <c r="L33" s="17">
        <v>184.0285</v>
      </c>
      <c r="M33" s="18">
        <v>239</v>
      </c>
      <c r="N33" s="18">
        <v>369</v>
      </c>
      <c r="O33" s="19">
        <f>IFERROR((N33-M33)*K33,0)</f>
      </c>
      <c r="P33" s="18">
        <v>154</v>
      </c>
      <c r="Q33" s="18">
        <v>239</v>
      </c>
      <c r="R33" s="18">
        <v>369</v>
      </c>
      <c r="S33" s="16">
        <f>IFERROR((P33/Q33)*R33,0)</f>
      </c>
      <c r="T33" s="16">
        <f>IFERROR((S33-P33)*((F33-G33)*0.8),0)</f>
      </c>
      <c r="U33" s="20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589</v>
      </c>
      <c r="D34" s="7" t="s">
        <v>307</v>
      </c>
      <c r="E34" s="7" t="s">
        <v>82</v>
      </c>
      <c r="F34" s="7">
        <v>0.317</v>
      </c>
      <c r="G34" s="7">
        <v>0.279</v>
      </c>
      <c r="H34" s="7" t="s">
        <v>83</v>
      </c>
      <c r="I34" s="7" t="s">
        <v>38</v>
      </c>
      <c r="J34" s="7" t="s">
        <v>643</v>
      </c>
      <c r="K34" s="8">
        <f>F34*1.06</f>
      </c>
      <c r="L34" s="9">
        <v>184.0285</v>
      </c>
      <c r="M34" s="10">
        <v>239</v>
      </c>
      <c r="N34" s="10">
        <v>369</v>
      </c>
      <c r="O34" s="11">
        <f>IFERROR((N34-M34)*K34,0)</f>
      </c>
      <c r="P34" s="10">
        <v>154</v>
      </c>
      <c r="Q34" s="10">
        <v>239</v>
      </c>
      <c r="R34" s="10">
        <v>369</v>
      </c>
      <c r="S34" s="8">
        <f>IFERROR((P34/Q34)*R34,0)</f>
      </c>
      <c r="T34" s="8">
        <f>IFERROR((S34-P34)*((F34-G34)*0.8),0)</f>
      </c>
      <c r="U34" s="12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589</v>
      </c>
      <c r="D35" s="15" t="s">
        <v>304</v>
      </c>
      <c r="E35" s="15" t="s">
        <v>305</v>
      </c>
      <c r="F35" s="15">
        <v>0.317</v>
      </c>
      <c r="G35" s="15">
        <v>0.272</v>
      </c>
      <c r="H35" s="15" t="s">
        <v>83</v>
      </c>
      <c r="I35" s="15" t="s">
        <v>38</v>
      </c>
      <c r="J35" s="15" t="s">
        <v>644</v>
      </c>
      <c r="K35" s="16">
        <f>F35*1.06</f>
      </c>
      <c r="L35" s="17">
        <v>184.1485</v>
      </c>
      <c r="M35" s="18">
        <v>239</v>
      </c>
      <c r="N35" s="18">
        <v>369</v>
      </c>
      <c r="O35" s="19">
        <f>IFERROR((N35-M35)*K35,0)</f>
      </c>
      <c r="P35" s="18">
        <v>154</v>
      </c>
      <c r="Q35" s="18">
        <v>239</v>
      </c>
      <c r="R35" s="18">
        <v>369</v>
      </c>
      <c r="S35" s="16">
        <f>IFERROR((P35/Q35)*R35,0)</f>
      </c>
      <c r="T35" s="16">
        <f>IFERROR((S35-P35)*((F35-G35)*0.8),0)</f>
      </c>
      <c r="U35" s="20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589</v>
      </c>
      <c r="D36" s="7" t="s">
        <v>594</v>
      </c>
      <c r="E36" s="7" t="s">
        <v>592</v>
      </c>
      <c r="F36" s="7">
        <v>1.047</v>
      </c>
      <c r="G36" s="7">
        <v>0.946</v>
      </c>
      <c r="H36" s="7" t="s">
        <v>83</v>
      </c>
      <c r="I36" s="7" t="s">
        <v>38</v>
      </c>
      <c r="J36" s="7" t="s">
        <v>645</v>
      </c>
      <c r="K36" s="8">
        <f>F36*1.06</f>
      </c>
      <c r="L36" s="9">
        <v>461.3382</v>
      </c>
      <c r="M36" s="10">
        <v>239</v>
      </c>
      <c r="N36" s="10">
        <v>369</v>
      </c>
      <c r="O36" s="11">
        <f>IFERROR((N36-M36)*K36,0)</f>
      </c>
      <c r="P36" s="10">
        <v>154</v>
      </c>
      <c r="Q36" s="10">
        <v>239</v>
      </c>
      <c r="R36" s="10">
        <v>369</v>
      </c>
      <c r="S36" s="8">
        <f>IFERROR((P36/Q36)*R36,0)</f>
      </c>
      <c r="T36" s="8">
        <f>IFERROR((S36-P36)*((F36-G36)*0.8),0)</f>
      </c>
      <c r="U36" s="12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589</v>
      </c>
      <c r="D37" s="15" t="s">
        <v>465</v>
      </c>
      <c r="E37" s="15" t="s">
        <v>466</v>
      </c>
      <c r="F37" s="15">
        <v>1.022</v>
      </c>
      <c r="G37" s="15">
        <v>1.022</v>
      </c>
      <c r="H37" s="15" t="s">
        <v>83</v>
      </c>
      <c r="I37" s="15" t="s">
        <v>38</v>
      </c>
      <c r="J37" s="15" t="s">
        <v>646</v>
      </c>
      <c r="K37" s="16">
        <f>F37*1.06</f>
      </c>
      <c r="L37" s="17">
        <v>385.9467</v>
      </c>
      <c r="M37" s="18">
        <v>239</v>
      </c>
      <c r="N37" s="18">
        <v>369</v>
      </c>
      <c r="O37" s="19">
        <f>IFERROR((N37-M37)*K37,0)</f>
      </c>
      <c r="P37" s="24" t="s">
        <v>85</v>
      </c>
      <c r="Q37" s="24" t="s">
        <v>85</v>
      </c>
      <c r="R37" s="24" t="s">
        <v>85</v>
      </c>
      <c r="S37" s="24" t="s">
        <v>85</v>
      </c>
      <c r="T37" s="16">
        <v>0</v>
      </c>
      <c r="U37" s="20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589</v>
      </c>
      <c r="D38" s="7" t="s">
        <v>606</v>
      </c>
      <c r="E38" s="7" t="s">
        <v>607</v>
      </c>
      <c r="F38" s="7">
        <v>0.915</v>
      </c>
      <c r="G38" s="7">
        <v>0.825</v>
      </c>
      <c r="H38" s="7" t="s">
        <v>83</v>
      </c>
      <c r="I38" s="7" t="s">
        <v>38</v>
      </c>
      <c r="J38" s="7" t="s">
        <v>647</v>
      </c>
      <c r="K38" s="8">
        <f>F38*1.06</f>
      </c>
      <c r="L38" s="9">
        <v>436.3789</v>
      </c>
      <c r="M38" s="10">
        <v>239</v>
      </c>
      <c r="N38" s="10">
        <v>369</v>
      </c>
      <c r="O38" s="11">
        <f>IFERROR((N38-M38)*K38,0)</f>
      </c>
      <c r="P38" s="10">
        <v>154</v>
      </c>
      <c r="Q38" s="10">
        <v>239</v>
      </c>
      <c r="R38" s="10">
        <v>369</v>
      </c>
      <c r="S38" s="8">
        <f>IFERROR((P38/Q38)*R38,0)</f>
      </c>
      <c r="T38" s="8">
        <f>IFERROR((S38-P38)*((F38-G38)*0.8),0)</f>
      </c>
      <c r="U38" s="12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589</v>
      </c>
      <c r="D39" s="15" t="s">
        <v>648</v>
      </c>
      <c r="E39" s="15" t="s">
        <v>592</v>
      </c>
      <c r="F39" s="15">
        <v>1.047</v>
      </c>
      <c r="G39" s="15">
        <v>0.824</v>
      </c>
      <c r="H39" s="15" t="s">
        <v>83</v>
      </c>
      <c r="I39" s="15" t="s">
        <v>38</v>
      </c>
      <c r="J39" s="15" t="s">
        <v>649</v>
      </c>
      <c r="K39" s="16">
        <f>F39*1.06</f>
      </c>
      <c r="L39" s="17">
        <v>452.3017</v>
      </c>
      <c r="M39" s="18">
        <v>239</v>
      </c>
      <c r="N39" s="18">
        <v>369</v>
      </c>
      <c r="O39" s="19">
        <f>IFERROR((N39-M39)*K39,0)</f>
      </c>
      <c r="P39" s="18">
        <v>154</v>
      </c>
      <c r="Q39" s="18">
        <v>239</v>
      </c>
      <c r="R39" s="18">
        <v>369</v>
      </c>
      <c r="S39" s="16">
        <f>IFERROR((P39/Q39)*R39,0)</f>
      </c>
      <c r="T39" s="16">
        <f>IFERROR((S39-P39)*((F39-G39)*0.8),0)</f>
      </c>
      <c r="U39" s="20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589</v>
      </c>
      <c r="D40" s="7" t="s">
        <v>650</v>
      </c>
      <c r="E40" s="7" t="s">
        <v>592</v>
      </c>
      <c r="F40" s="7">
        <v>1.047</v>
      </c>
      <c r="G40" s="7">
        <v>0.923</v>
      </c>
      <c r="H40" s="7" t="s">
        <v>83</v>
      </c>
      <c r="I40" s="7" t="s">
        <v>38</v>
      </c>
      <c r="J40" s="7" t="s">
        <v>651</v>
      </c>
      <c r="K40" s="8">
        <f>F40*1.06</f>
      </c>
      <c r="L40" s="9">
        <v>371.8406</v>
      </c>
      <c r="M40" s="10">
        <v>239</v>
      </c>
      <c r="N40" s="10">
        <v>369</v>
      </c>
      <c r="O40" s="11">
        <f>IFERROR((N40-M40)*K40,0)</f>
      </c>
      <c r="P40" s="10">
        <v>154</v>
      </c>
      <c r="Q40" s="10">
        <v>239</v>
      </c>
      <c r="R40" s="10">
        <v>369</v>
      </c>
      <c r="S40" s="8">
        <f>IFERROR((P40/Q40)*R40,0)</f>
      </c>
      <c r="T40" s="8">
        <f>IFERROR((S40-P40)*((F40-G40)*0.8),0)</f>
      </c>
      <c r="U40" s="12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589</v>
      </c>
      <c r="D41" s="15" t="s">
        <v>652</v>
      </c>
      <c r="E41" s="15" t="s">
        <v>592</v>
      </c>
      <c r="F41" s="15">
        <v>0.988</v>
      </c>
      <c r="G41" s="15">
        <v>0.946</v>
      </c>
      <c r="H41" s="15" t="s">
        <v>83</v>
      </c>
      <c r="I41" s="15" t="s">
        <v>38</v>
      </c>
      <c r="J41" s="15" t="s">
        <v>653</v>
      </c>
      <c r="K41" s="16">
        <f>F41*1.06</f>
      </c>
      <c r="L41" s="17">
        <v>369.0073</v>
      </c>
      <c r="M41" s="18">
        <v>239</v>
      </c>
      <c r="N41" s="18">
        <v>369</v>
      </c>
      <c r="O41" s="19">
        <f>IFERROR((N41-M41)*K41,0)</f>
      </c>
      <c r="P41" s="18">
        <v>154</v>
      </c>
      <c r="Q41" s="18">
        <v>239</v>
      </c>
      <c r="R41" s="18">
        <v>369</v>
      </c>
      <c r="S41" s="16">
        <f>IFERROR((P41/Q41)*R41,0)</f>
      </c>
      <c r="T41" s="16">
        <f>IFERROR((S41-P41)*((F41-G41)*0.8),0)</f>
      </c>
      <c r="U41" s="20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589</v>
      </c>
      <c r="D42" s="7" t="s">
        <v>654</v>
      </c>
      <c r="E42" s="7" t="s">
        <v>655</v>
      </c>
      <c r="F42" s="7">
        <v>0.566</v>
      </c>
      <c r="G42" s="7">
        <v>0.486</v>
      </c>
      <c r="H42" s="7" t="s">
        <v>83</v>
      </c>
      <c r="I42" s="7" t="s">
        <v>38</v>
      </c>
      <c r="J42" s="7" t="s">
        <v>656</v>
      </c>
      <c r="K42" s="8">
        <f>F42*1.06</f>
      </c>
      <c r="L42" s="9">
        <v>308.9252</v>
      </c>
      <c r="M42" s="10">
        <v>239</v>
      </c>
      <c r="N42" s="10">
        <v>369</v>
      </c>
      <c r="O42" s="11">
        <f>IFERROR((N42-M42)*K42,0)</f>
      </c>
      <c r="P42" s="10">
        <v>154</v>
      </c>
      <c r="Q42" s="10">
        <v>239</v>
      </c>
      <c r="R42" s="10">
        <v>369</v>
      </c>
      <c r="S42" s="8">
        <f>IFERROR((P42/Q42)*R42,0)</f>
      </c>
      <c r="T42" s="8">
        <f>IFERROR((S42-P42)*((F42-G42)*0.8),0)</f>
      </c>
      <c r="U42" s="12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589</v>
      </c>
      <c r="D43" s="15" t="s">
        <v>657</v>
      </c>
      <c r="E43" s="15" t="s">
        <v>655</v>
      </c>
      <c r="F43" s="15">
        <v>0.566</v>
      </c>
      <c r="G43" s="15">
        <v>0.486</v>
      </c>
      <c r="H43" s="15" t="s">
        <v>83</v>
      </c>
      <c r="I43" s="15" t="s">
        <v>38</v>
      </c>
      <c r="J43" s="15" t="s">
        <v>658</v>
      </c>
      <c r="K43" s="16">
        <f>F43*1.06</f>
      </c>
      <c r="L43" s="17">
        <v>317.5852</v>
      </c>
      <c r="M43" s="18">
        <v>239</v>
      </c>
      <c r="N43" s="18">
        <v>369</v>
      </c>
      <c r="O43" s="19">
        <f>IFERROR((N43-M43)*K43,0)</f>
      </c>
      <c r="P43" s="18">
        <v>154</v>
      </c>
      <c r="Q43" s="18">
        <v>239</v>
      </c>
      <c r="R43" s="18">
        <v>369</v>
      </c>
      <c r="S43" s="16">
        <f>IFERROR((P43/Q43)*R43,0)</f>
      </c>
      <c r="T43" s="16">
        <f>IFERROR((S43-P43)*((F43-G43)*0.8),0)</f>
      </c>
      <c r="U43" s="20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589</v>
      </c>
      <c r="D44" s="7" t="s">
        <v>659</v>
      </c>
      <c r="E44" s="7" t="s">
        <v>435</v>
      </c>
      <c r="F44" s="7">
        <v>0.27</v>
      </c>
      <c r="G44" s="7">
        <v>0.259</v>
      </c>
      <c r="H44" s="7" t="s">
        <v>83</v>
      </c>
      <c r="I44" s="7" t="s">
        <v>38</v>
      </c>
      <c r="J44" s="7" t="s">
        <v>660</v>
      </c>
      <c r="K44" s="8">
        <f>F44*1.06</f>
      </c>
      <c r="L44" s="9">
        <v>159.0173</v>
      </c>
      <c r="M44" s="10">
        <v>239</v>
      </c>
      <c r="N44" s="10">
        <v>369</v>
      </c>
      <c r="O44" s="11">
        <f>IFERROR((N44-M44)*K44,0)</f>
      </c>
      <c r="P44" s="10">
        <v>154</v>
      </c>
      <c r="Q44" s="10">
        <v>239</v>
      </c>
      <c r="R44" s="10">
        <v>369</v>
      </c>
      <c r="S44" s="8">
        <f>IFERROR((P44/Q44)*R44,0)</f>
      </c>
      <c r="T44" s="8">
        <f>IFERROR((S44-P44)*((F44-G44)*0.8),0)</f>
      </c>
      <c r="U44" s="12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589</v>
      </c>
      <c r="D45" s="15" t="s">
        <v>661</v>
      </c>
      <c r="E45" s="15" t="s">
        <v>662</v>
      </c>
      <c r="F45" s="15">
        <v>0.27</v>
      </c>
      <c r="G45" s="15">
        <v>0.259</v>
      </c>
      <c r="H45" s="15" t="s">
        <v>83</v>
      </c>
      <c r="I45" s="15" t="s">
        <v>38</v>
      </c>
      <c r="J45" s="15" t="s">
        <v>663</v>
      </c>
      <c r="K45" s="16">
        <f>F45*1.06</f>
      </c>
      <c r="L45" s="17">
        <v>159.0173</v>
      </c>
      <c r="M45" s="18">
        <v>239</v>
      </c>
      <c r="N45" s="18">
        <v>369</v>
      </c>
      <c r="O45" s="19">
        <f>IFERROR((N45-M45)*K45,0)</f>
      </c>
      <c r="P45" s="18">
        <v>154</v>
      </c>
      <c r="Q45" s="18">
        <v>239</v>
      </c>
      <c r="R45" s="18">
        <v>369</v>
      </c>
      <c r="S45" s="16">
        <f>IFERROR((P45/Q45)*R45,0)</f>
      </c>
      <c r="T45" s="16">
        <f>IFERROR((S45-P45)*((F45-G45)*0.8),0)</f>
      </c>
      <c r="U45" s="20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589</v>
      </c>
      <c r="D46" s="7" t="s">
        <v>664</v>
      </c>
      <c r="E46" s="7" t="s">
        <v>665</v>
      </c>
      <c r="F46" s="7">
        <v>0.27</v>
      </c>
      <c r="G46" s="7">
        <v>0.259</v>
      </c>
      <c r="H46" s="7" t="s">
        <v>83</v>
      </c>
      <c r="I46" s="7" t="s">
        <v>38</v>
      </c>
      <c r="J46" s="7" t="s">
        <v>666</v>
      </c>
      <c r="K46" s="8">
        <f>F46*1.06</f>
      </c>
      <c r="L46" s="9">
        <v>159.0173</v>
      </c>
      <c r="M46" s="10">
        <v>239</v>
      </c>
      <c r="N46" s="10">
        <v>369</v>
      </c>
      <c r="O46" s="11">
        <f>IFERROR((N46-M46)*K46,0)</f>
      </c>
      <c r="P46" s="10">
        <v>154</v>
      </c>
      <c r="Q46" s="10">
        <v>239</v>
      </c>
      <c r="R46" s="10">
        <v>369</v>
      </c>
      <c r="S46" s="8">
        <f>IFERROR((P46/Q46)*R46,0)</f>
      </c>
      <c r="T46" s="8">
        <f>IFERROR((S46-P46)*((F46-G46)*0.8),0)</f>
      </c>
      <c r="U46" s="12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589</v>
      </c>
      <c r="D47" s="15" t="s">
        <v>667</v>
      </c>
      <c r="E47" s="15" t="s">
        <v>435</v>
      </c>
      <c r="F47" s="15">
        <v>0.286</v>
      </c>
      <c r="G47" s="15">
        <v>0.286</v>
      </c>
      <c r="H47" s="15" t="s">
        <v>83</v>
      </c>
      <c r="I47" s="15" t="s">
        <v>38</v>
      </c>
      <c r="J47" s="15" t="s">
        <v>668</v>
      </c>
      <c r="K47" s="16">
        <f>F47*1.06</f>
      </c>
      <c r="L47" s="17">
        <v>117.6976</v>
      </c>
      <c r="M47" s="18">
        <v>239</v>
      </c>
      <c r="N47" s="18">
        <v>369</v>
      </c>
      <c r="O47" s="19">
        <f>IFERROR((N47-M47)*K47,0)</f>
      </c>
      <c r="P47" s="24" t="s">
        <v>85</v>
      </c>
      <c r="Q47" s="24" t="s">
        <v>85</v>
      </c>
      <c r="R47" s="24" t="s">
        <v>85</v>
      </c>
      <c r="S47" s="24" t="s">
        <v>85</v>
      </c>
      <c r="T47" s="16">
        <v>0</v>
      </c>
      <c r="U47" s="20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589</v>
      </c>
      <c r="D48" s="7" t="s">
        <v>669</v>
      </c>
      <c r="E48" s="7" t="s">
        <v>670</v>
      </c>
      <c r="F48" s="7">
        <v>0.27</v>
      </c>
      <c r="G48" s="7">
        <v>0.268</v>
      </c>
      <c r="H48" s="7" t="s">
        <v>83</v>
      </c>
      <c r="I48" s="7" t="s">
        <v>38</v>
      </c>
      <c r="J48" s="7" t="s">
        <v>671</v>
      </c>
      <c r="K48" s="8">
        <f>F48*1.06</f>
      </c>
      <c r="L48" s="9">
        <v>155.189</v>
      </c>
      <c r="M48" s="10">
        <v>239</v>
      </c>
      <c r="N48" s="10">
        <v>369</v>
      </c>
      <c r="O48" s="11">
        <f>IFERROR((N48-M48)*K48,0)</f>
      </c>
      <c r="P48" s="10">
        <v>154</v>
      </c>
      <c r="Q48" s="10">
        <v>239</v>
      </c>
      <c r="R48" s="10">
        <v>369</v>
      </c>
      <c r="S48" s="8">
        <f>IFERROR((P48/Q48)*R48,0)</f>
      </c>
      <c r="T48" s="8">
        <f>IFERROR((S48-P48)*((F48-G48)*0.8),0)</f>
      </c>
      <c r="U48" s="12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589</v>
      </c>
      <c r="D49" s="15" t="s">
        <v>672</v>
      </c>
      <c r="E49" s="15" t="s">
        <v>673</v>
      </c>
      <c r="F49" s="15">
        <v>0.675</v>
      </c>
      <c r="G49" s="15">
        <v>0.675</v>
      </c>
      <c r="H49" s="15" t="s">
        <v>83</v>
      </c>
      <c r="I49" s="15" t="s">
        <v>38</v>
      </c>
      <c r="J49" s="15" t="s">
        <v>674</v>
      </c>
      <c r="K49" s="16">
        <f>F49*1.06</f>
      </c>
      <c r="L49" s="17">
        <v>259.8673</v>
      </c>
      <c r="M49" s="18">
        <v>239</v>
      </c>
      <c r="N49" s="18">
        <v>369</v>
      </c>
      <c r="O49" s="19">
        <f>IFERROR((N49-M49)*K49,0)</f>
      </c>
      <c r="P49" s="24" t="s">
        <v>85</v>
      </c>
      <c r="Q49" s="24" t="s">
        <v>85</v>
      </c>
      <c r="R49" s="24" t="s">
        <v>85</v>
      </c>
      <c r="S49" s="24" t="s">
        <v>85</v>
      </c>
      <c r="T49" s="16">
        <v>0</v>
      </c>
      <c r="U49" s="20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589</v>
      </c>
      <c r="D50" s="7" t="s">
        <v>604</v>
      </c>
      <c r="E50" s="7" t="s">
        <v>592</v>
      </c>
      <c r="F50" s="7">
        <v>1.047</v>
      </c>
      <c r="G50" s="7">
        <v>0.943</v>
      </c>
      <c r="H50" s="7" t="s">
        <v>301</v>
      </c>
      <c r="I50" s="7" t="s">
        <v>38</v>
      </c>
      <c r="J50" s="7" t="s">
        <v>675</v>
      </c>
      <c r="K50" s="8">
        <f>F50*1.06</f>
      </c>
      <c r="L50" s="9">
        <v>462.2138</v>
      </c>
      <c r="M50" s="10">
        <v>239</v>
      </c>
      <c r="N50" s="10">
        <v>369</v>
      </c>
      <c r="O50" s="11">
        <f>IFERROR((N50-M50)*K50,0)</f>
      </c>
      <c r="P50" s="10">
        <v>154</v>
      </c>
      <c r="Q50" s="10">
        <v>239</v>
      </c>
      <c r="R50" s="10">
        <v>369</v>
      </c>
      <c r="S50" s="8">
        <f>IFERROR((P50/Q50)*R50,0)</f>
      </c>
      <c r="T50" s="8">
        <f>IFERROR((S50-P50)*((F50-G50)*0.8),0)</f>
      </c>
      <c r="U50" s="12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589</v>
      </c>
      <c r="D51" s="15" t="s">
        <v>591</v>
      </c>
      <c r="E51" s="15" t="s">
        <v>592</v>
      </c>
      <c r="F51" s="15">
        <v>1.047</v>
      </c>
      <c r="G51" s="15">
        <v>0.923</v>
      </c>
      <c r="H51" s="15" t="s">
        <v>301</v>
      </c>
      <c r="I51" s="15" t="s">
        <v>38</v>
      </c>
      <c r="J51" s="15" t="s">
        <v>676</v>
      </c>
      <c r="K51" s="16">
        <f>F51*1.06</f>
      </c>
      <c r="L51" s="17">
        <v>460.7403</v>
      </c>
      <c r="M51" s="18">
        <v>239</v>
      </c>
      <c r="N51" s="18">
        <v>369</v>
      </c>
      <c r="O51" s="19">
        <f>IFERROR((N51-M51)*K51,0)</f>
      </c>
      <c r="P51" s="18">
        <v>154</v>
      </c>
      <c r="Q51" s="18">
        <v>239</v>
      </c>
      <c r="R51" s="18">
        <v>369</v>
      </c>
      <c r="S51" s="16">
        <f>IFERROR((P51/Q51)*R51,0)</f>
      </c>
      <c r="T51" s="16">
        <f>IFERROR((S51-P51)*((F51-G51)*0.8),0)</f>
      </c>
      <c r="U51" s="20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589</v>
      </c>
      <c r="D52" s="7" t="s">
        <v>617</v>
      </c>
      <c r="E52" s="7" t="s">
        <v>618</v>
      </c>
      <c r="F52" s="7">
        <v>0.731</v>
      </c>
      <c r="G52" s="7">
        <v>0.61</v>
      </c>
      <c r="H52" s="7" t="s">
        <v>585</v>
      </c>
      <c r="I52" s="7" t="s">
        <v>38</v>
      </c>
      <c r="J52" s="7" t="s">
        <v>677</v>
      </c>
      <c r="K52" s="8">
        <f>F52*1.06</f>
      </c>
      <c r="L52" s="9">
        <v>294.3778</v>
      </c>
      <c r="M52" s="10">
        <v>239</v>
      </c>
      <c r="N52" s="10">
        <v>369</v>
      </c>
      <c r="O52" s="11">
        <f>IFERROR((N52-M52)*K52,0)</f>
      </c>
      <c r="P52" s="10">
        <v>154</v>
      </c>
      <c r="Q52" s="10">
        <v>239</v>
      </c>
      <c r="R52" s="10">
        <v>369</v>
      </c>
      <c r="S52" s="8">
        <f>IFERROR((P52/Q52)*R52,0)</f>
      </c>
      <c r="T52" s="8">
        <f>IFERROR((S52-P52)*((F52-G52)*0.8),0)</f>
      </c>
      <c r="U52" s="12">
        <f>ROUND(L52+O52-T52,2)</f>
      </c>
      <c r="V52" s="13">
        <v>0</v>
      </c>
      <c r="W52" s="14">
        <f>(U52-L52)*V52/100000</f>
      </c>
    </row>
    <row r="53" spans="1:23" x14ac:dyDescent="0.25">
      <c r="A53" s="25" t="s">
        <v>122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6">
        <f>SUM(V4:V52)</f>
      </c>
      <c r="W53" s="27">
        <f>SUM(W4:W52)</f>
      </c>
    </row>
  </sheetData>
  <autoFilter ref="A3:W52"/>
  <mergeCells count="3">
    <mergeCell ref="A1:W1"/>
    <mergeCell ref="A2:D2"/>
    <mergeCell ref="A53:U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5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678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W53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589</v>
      </c>
      <c r="D4" s="7" t="s">
        <v>167</v>
      </c>
      <c r="E4" s="7" t="s">
        <v>82</v>
      </c>
      <c r="F4" s="7">
        <v>0.317</v>
      </c>
      <c r="G4" s="7">
        <v>0.279</v>
      </c>
      <c r="H4" s="7" t="s">
        <v>37</v>
      </c>
      <c r="I4" s="7" t="s">
        <v>38</v>
      </c>
      <c r="J4" s="7" t="s">
        <v>590</v>
      </c>
      <c r="K4" s="8">
        <f>F4*1.06</f>
      </c>
      <c r="L4" s="9">
        <v>222.64</v>
      </c>
      <c r="M4" s="28">
        <v>369</v>
      </c>
      <c r="N4" s="28"/>
      <c r="O4" s="29">
        <f>IFERROR((N4-M4)*K4,0)</f>
      </c>
      <c r="P4" s="28">
        <v>237.76569037656904</v>
      </c>
      <c r="Q4" s="28">
        <v>369</v>
      </c>
      <c r="R4" s="28"/>
      <c r="S4" s="30">
        <f>IFERROR((P4/Q4)*R4,0)</f>
      </c>
      <c r="T4" s="30">
        <f>IFERROR((S4-P4)*((F4-G4)*0.8),0)</f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589</v>
      </c>
      <c r="D5" s="15" t="s">
        <v>591</v>
      </c>
      <c r="E5" s="15" t="s">
        <v>592</v>
      </c>
      <c r="F5" s="15">
        <v>1.047</v>
      </c>
      <c r="G5" s="15">
        <v>0.923</v>
      </c>
      <c r="H5" s="15" t="s">
        <v>37</v>
      </c>
      <c r="I5" s="15" t="s">
        <v>38</v>
      </c>
      <c r="J5" s="15" t="s">
        <v>593</v>
      </c>
      <c r="K5" s="16">
        <f>F5*1.06</f>
      </c>
      <c r="L5" s="17">
        <v>608.55</v>
      </c>
      <c r="M5" s="32">
        <v>369</v>
      </c>
      <c r="N5" s="32"/>
      <c r="O5" s="33">
        <f>IFERROR((N5-M5)*K5,0)</f>
      </c>
      <c r="P5" s="32">
        <v>237.76569037656904</v>
      </c>
      <c r="Q5" s="32">
        <v>369</v>
      </c>
      <c r="R5" s="32"/>
      <c r="S5" s="34">
        <f>IFERROR((P5/Q5)*R5,0)</f>
      </c>
      <c r="T5" s="34">
        <f>IFERROR((S5-P5)*((F5-G5)*0.8),0)</f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589</v>
      </c>
      <c r="D6" s="7" t="s">
        <v>594</v>
      </c>
      <c r="E6" s="7" t="s">
        <v>592</v>
      </c>
      <c r="F6" s="7">
        <v>1.047</v>
      </c>
      <c r="G6" s="7">
        <v>0.946</v>
      </c>
      <c r="H6" s="7" t="s">
        <v>37</v>
      </c>
      <c r="I6" s="7" t="s">
        <v>38</v>
      </c>
      <c r="J6" s="7" t="s">
        <v>595</v>
      </c>
      <c r="K6" s="8">
        <f>F6*1.06</f>
      </c>
      <c r="L6" s="9">
        <v>614.02</v>
      </c>
      <c r="M6" s="28">
        <v>369</v>
      </c>
      <c r="N6" s="28"/>
      <c r="O6" s="29">
        <f>IFERROR((N6-M6)*K6,0)</f>
      </c>
      <c r="P6" s="28">
        <v>237.76569037656904</v>
      </c>
      <c r="Q6" s="28">
        <v>369</v>
      </c>
      <c r="R6" s="28"/>
      <c r="S6" s="30">
        <f>IFERROR((P6/Q6)*R6,0)</f>
      </c>
      <c r="T6" s="30">
        <f>IFERROR((S6-P6)*((F6-G6)*0.8),0)</f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589</v>
      </c>
      <c r="D7" s="15" t="s">
        <v>596</v>
      </c>
      <c r="E7" s="15" t="s">
        <v>41</v>
      </c>
      <c r="F7" s="15">
        <v>1.036</v>
      </c>
      <c r="G7" s="15">
        <v>1.036</v>
      </c>
      <c r="H7" s="15" t="s">
        <v>37</v>
      </c>
      <c r="I7" s="15" t="s">
        <v>38</v>
      </c>
      <c r="J7" s="15" t="s">
        <v>597</v>
      </c>
      <c r="K7" s="16">
        <f>F7*1.06</f>
      </c>
      <c r="L7" s="17">
        <v>541.23</v>
      </c>
      <c r="M7" s="32">
        <v>369</v>
      </c>
      <c r="N7" s="32"/>
      <c r="O7" s="33">
        <f>IFERROR((N7-M7)*K7,0)</f>
      </c>
      <c r="P7" s="37" t="s">
        <v>85</v>
      </c>
      <c r="Q7" s="37" t="s">
        <v>85</v>
      </c>
      <c r="R7" s="37" t="s">
        <v>85</v>
      </c>
      <c r="S7" s="37" t="s">
        <v>85</v>
      </c>
      <c r="T7" s="34">
        <v>0</v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589</v>
      </c>
      <c r="D8" s="7" t="s">
        <v>598</v>
      </c>
      <c r="E8" s="7" t="s">
        <v>41</v>
      </c>
      <c r="F8" s="7">
        <v>1.04728</v>
      </c>
      <c r="G8" s="7">
        <v>0.931</v>
      </c>
      <c r="H8" s="7" t="s">
        <v>37</v>
      </c>
      <c r="I8" s="7" t="s">
        <v>38</v>
      </c>
      <c r="J8" s="7" t="s">
        <v>599</v>
      </c>
      <c r="K8" s="8">
        <f>F8*1.06</f>
      </c>
      <c r="L8" s="9">
        <v>571.56</v>
      </c>
      <c r="M8" s="28">
        <v>369</v>
      </c>
      <c r="N8" s="28"/>
      <c r="O8" s="29">
        <f>IFERROR((N8-M8)*K8,0)</f>
      </c>
      <c r="P8" s="28">
        <v>237.76569037656904</v>
      </c>
      <c r="Q8" s="28">
        <v>369</v>
      </c>
      <c r="R8" s="28"/>
      <c r="S8" s="30">
        <f>IFERROR((P8/Q8)*R8,0)</f>
      </c>
      <c r="T8" s="30">
        <f>IFERROR((S8-P8)*((F8-G8)*0.8),0)</f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589</v>
      </c>
      <c r="D9" s="15" t="s">
        <v>600</v>
      </c>
      <c r="E9" s="15" t="s">
        <v>601</v>
      </c>
      <c r="F9" s="15">
        <v>1.038</v>
      </c>
      <c r="G9" s="15">
        <v>1.038</v>
      </c>
      <c r="H9" s="15" t="s">
        <v>54</v>
      </c>
      <c r="I9" s="15" t="s">
        <v>38</v>
      </c>
      <c r="J9" s="15" t="s">
        <v>602</v>
      </c>
      <c r="K9" s="16">
        <f>F9*1.06</f>
      </c>
      <c r="L9" s="17">
        <v>522.49</v>
      </c>
      <c r="M9" s="32">
        <v>369</v>
      </c>
      <c r="N9" s="32"/>
      <c r="O9" s="33">
        <f>IFERROR((N9-M9)*K9,0)</f>
      </c>
      <c r="P9" s="37" t="s">
        <v>85</v>
      </c>
      <c r="Q9" s="37" t="s">
        <v>85</v>
      </c>
      <c r="R9" s="37" t="s">
        <v>85</v>
      </c>
      <c r="S9" s="37" t="s">
        <v>85</v>
      </c>
      <c r="T9" s="34">
        <v>0</v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589</v>
      </c>
      <c r="D10" s="7" t="s">
        <v>591</v>
      </c>
      <c r="E10" s="7" t="s">
        <v>592</v>
      </c>
      <c r="F10" s="7">
        <v>1.047</v>
      </c>
      <c r="G10" s="7">
        <v>0.923</v>
      </c>
      <c r="H10" s="7" t="s">
        <v>54</v>
      </c>
      <c r="I10" s="7" t="s">
        <v>38</v>
      </c>
      <c r="J10" s="7" t="s">
        <v>603</v>
      </c>
      <c r="K10" s="8">
        <f>F10*1.06</f>
      </c>
      <c r="L10" s="9">
        <v>596.7</v>
      </c>
      <c r="M10" s="28">
        <v>369</v>
      </c>
      <c r="N10" s="28"/>
      <c r="O10" s="29">
        <f>IFERROR((N10-M10)*K10,0)</f>
      </c>
      <c r="P10" s="28">
        <v>237.76569037656904</v>
      </c>
      <c r="Q10" s="28">
        <v>369</v>
      </c>
      <c r="R10" s="28"/>
      <c r="S10" s="30">
        <f>IFERROR((P10/Q10)*R10,0)</f>
      </c>
      <c r="T10" s="30">
        <f>IFERROR((S10-P10)*((F10-G10)*0.8),0)</f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589</v>
      </c>
      <c r="D11" s="15" t="s">
        <v>604</v>
      </c>
      <c r="E11" s="15" t="s">
        <v>592</v>
      </c>
      <c r="F11" s="15">
        <v>1.047</v>
      </c>
      <c r="G11" s="15">
        <v>0.943</v>
      </c>
      <c r="H11" s="15" t="s">
        <v>54</v>
      </c>
      <c r="I11" s="15" t="s">
        <v>38</v>
      </c>
      <c r="J11" s="15" t="s">
        <v>605</v>
      </c>
      <c r="K11" s="16">
        <f>F11*1.06</f>
      </c>
      <c r="L11" s="17">
        <v>599.52</v>
      </c>
      <c r="M11" s="32">
        <v>369</v>
      </c>
      <c r="N11" s="32"/>
      <c r="O11" s="33">
        <f>IFERROR((N11-M11)*K11,0)</f>
      </c>
      <c r="P11" s="32">
        <v>237.76569037656904</v>
      </c>
      <c r="Q11" s="32">
        <v>369</v>
      </c>
      <c r="R11" s="32"/>
      <c r="S11" s="34">
        <f>IFERROR((P11/Q11)*R11,0)</f>
      </c>
      <c r="T11" s="34">
        <f>IFERROR((S11-P11)*((F11-G11)*0.8),0)</f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589</v>
      </c>
      <c r="D12" s="7" t="s">
        <v>606</v>
      </c>
      <c r="E12" s="7" t="s">
        <v>607</v>
      </c>
      <c r="F12" s="7">
        <v>0.915</v>
      </c>
      <c r="G12" s="7">
        <v>0.825</v>
      </c>
      <c r="H12" s="7" t="s">
        <v>54</v>
      </c>
      <c r="I12" s="7" t="s">
        <v>38</v>
      </c>
      <c r="J12" s="7" t="s">
        <v>608</v>
      </c>
      <c r="K12" s="8">
        <f>F12*1.06</f>
      </c>
      <c r="L12" s="9">
        <v>556.45</v>
      </c>
      <c r="M12" s="28">
        <v>369</v>
      </c>
      <c r="N12" s="28"/>
      <c r="O12" s="29">
        <f>IFERROR((N12-M12)*K12,0)</f>
      </c>
      <c r="P12" s="28">
        <v>237.76569037656904</v>
      </c>
      <c r="Q12" s="28">
        <v>369</v>
      </c>
      <c r="R12" s="28"/>
      <c r="S12" s="30">
        <f>IFERROR((P12/Q12)*R12,0)</f>
      </c>
      <c r="T12" s="30">
        <f>IFERROR((S12-P12)*((F12-G12)*0.8),0)</f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589</v>
      </c>
      <c r="D13" s="15" t="s">
        <v>594</v>
      </c>
      <c r="E13" s="15" t="s">
        <v>592</v>
      </c>
      <c r="F13" s="15">
        <v>1.047</v>
      </c>
      <c r="G13" s="15">
        <v>0.946</v>
      </c>
      <c r="H13" s="15" t="s">
        <v>54</v>
      </c>
      <c r="I13" s="15" t="s">
        <v>38</v>
      </c>
      <c r="J13" s="15" t="s">
        <v>609</v>
      </c>
      <c r="K13" s="16">
        <f>F13*1.06</f>
      </c>
      <c r="L13" s="17">
        <v>598.58</v>
      </c>
      <c r="M13" s="32">
        <v>369</v>
      </c>
      <c r="N13" s="32"/>
      <c r="O13" s="33">
        <f>IFERROR((N13-M13)*K13,0)</f>
      </c>
      <c r="P13" s="32">
        <v>237.76569037656904</v>
      </c>
      <c r="Q13" s="32">
        <v>369</v>
      </c>
      <c r="R13" s="32"/>
      <c r="S13" s="34">
        <f>IFERROR((P13/Q13)*R13,0)</f>
      </c>
      <c r="T13" s="34">
        <f>IFERROR((S13-P13)*((F13-G13)*0.8),0)</f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589</v>
      </c>
      <c r="D14" s="7" t="s">
        <v>591</v>
      </c>
      <c r="E14" s="7" t="s">
        <v>592</v>
      </c>
      <c r="F14" s="7">
        <v>1.047</v>
      </c>
      <c r="G14" s="7">
        <v>0.923</v>
      </c>
      <c r="H14" s="7" t="s">
        <v>70</v>
      </c>
      <c r="I14" s="7" t="s">
        <v>38</v>
      </c>
      <c r="J14" s="7" t="s">
        <v>610</v>
      </c>
      <c r="K14" s="8">
        <f>F14*1.06</f>
      </c>
      <c r="L14" s="9">
        <v>601.53</v>
      </c>
      <c r="M14" s="28">
        <v>369</v>
      </c>
      <c r="N14" s="28"/>
      <c r="O14" s="29">
        <f>IFERROR((N14-M14)*K14,0)</f>
      </c>
      <c r="P14" s="28">
        <v>237.76569037656904</v>
      </c>
      <c r="Q14" s="28">
        <v>369</v>
      </c>
      <c r="R14" s="28"/>
      <c r="S14" s="30">
        <f>IFERROR((P14/Q14)*R14,0)</f>
      </c>
      <c r="T14" s="30">
        <f>IFERROR((S14-P14)*((F14-G14)*0.8),0)</f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589</v>
      </c>
      <c r="D15" s="15" t="s">
        <v>167</v>
      </c>
      <c r="E15" s="15" t="s">
        <v>82</v>
      </c>
      <c r="F15" s="15">
        <v>0.317</v>
      </c>
      <c r="G15" s="15">
        <v>0.279</v>
      </c>
      <c r="H15" s="15" t="s">
        <v>70</v>
      </c>
      <c r="I15" s="15" t="s">
        <v>38</v>
      </c>
      <c r="J15" s="15" t="s">
        <v>611</v>
      </c>
      <c r="K15" s="16">
        <f>F15*1.06</f>
      </c>
      <c r="L15" s="17">
        <v>226.58</v>
      </c>
      <c r="M15" s="32">
        <v>369</v>
      </c>
      <c r="N15" s="32"/>
      <c r="O15" s="33">
        <f>IFERROR((N15-M15)*K15,0)</f>
      </c>
      <c r="P15" s="32">
        <v>237.76569037656904</v>
      </c>
      <c r="Q15" s="32">
        <v>369</v>
      </c>
      <c r="R15" s="32"/>
      <c r="S15" s="34">
        <f>IFERROR((P15/Q15)*R15,0)</f>
      </c>
      <c r="T15" s="34">
        <f>IFERROR((S15-P15)*((F15-G15)*0.8),0)</f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589</v>
      </c>
      <c r="D16" s="7" t="s">
        <v>307</v>
      </c>
      <c r="E16" s="7" t="s">
        <v>82</v>
      </c>
      <c r="F16" s="7">
        <v>0.317</v>
      </c>
      <c r="G16" s="7">
        <v>0.279</v>
      </c>
      <c r="H16" s="7" t="s">
        <v>70</v>
      </c>
      <c r="I16" s="7" t="s">
        <v>38</v>
      </c>
      <c r="J16" s="7" t="s">
        <v>612</v>
      </c>
      <c r="K16" s="8">
        <f>F16*1.06</f>
      </c>
      <c r="L16" s="9">
        <v>224.06</v>
      </c>
      <c r="M16" s="28">
        <v>369</v>
      </c>
      <c r="N16" s="28"/>
      <c r="O16" s="29">
        <f>IFERROR((N16-M16)*K16,0)</f>
      </c>
      <c r="P16" s="28">
        <v>237.76569037656904</v>
      </c>
      <c r="Q16" s="28">
        <v>369</v>
      </c>
      <c r="R16" s="28"/>
      <c r="S16" s="30">
        <f>IFERROR((P16/Q16)*R16,0)</f>
      </c>
      <c r="T16" s="30">
        <f>IFERROR((S16-P16)*((F16-G16)*0.8),0)</f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15">
        <v>14</v>
      </c>
      <c r="B17" s="15">
        <f>D17&amp;H17</f>
      </c>
      <c r="C17" s="15" t="s">
        <v>589</v>
      </c>
      <c r="D17" s="15" t="s">
        <v>304</v>
      </c>
      <c r="E17" s="15" t="s">
        <v>305</v>
      </c>
      <c r="F17" s="15">
        <v>0.317</v>
      </c>
      <c r="G17" s="15">
        <v>0.272</v>
      </c>
      <c r="H17" s="15" t="s">
        <v>70</v>
      </c>
      <c r="I17" s="15" t="s">
        <v>38</v>
      </c>
      <c r="J17" s="15" t="s">
        <v>613</v>
      </c>
      <c r="K17" s="16">
        <f>F17*1.06</f>
      </c>
      <c r="L17" s="17">
        <v>226.11</v>
      </c>
      <c r="M17" s="32">
        <v>369</v>
      </c>
      <c r="N17" s="32"/>
      <c r="O17" s="33">
        <f>IFERROR((N17-M17)*K17,0)</f>
      </c>
      <c r="P17" s="32">
        <v>237.76569037656904</v>
      </c>
      <c r="Q17" s="32">
        <v>369</v>
      </c>
      <c r="R17" s="32"/>
      <c r="S17" s="34">
        <f>IFERROR((P17/Q17)*R17,0)</f>
      </c>
      <c r="T17" s="34">
        <f>IFERROR((S17-P17)*((F17-G17)*0.8),0)</f>
      </c>
      <c r="U17" s="35">
        <f>ROUND(L17+O17-T17,2)</f>
      </c>
      <c r="V17" s="21">
        <v>0</v>
      </c>
      <c r="W17" s="22">
        <f>(U17-L17)*V17/100000</f>
      </c>
    </row>
    <row r="18" spans="1:23" x14ac:dyDescent="0.25">
      <c r="A18" s="7">
        <v>15</v>
      </c>
      <c r="B18" s="7">
        <f>D18&amp;H18</f>
      </c>
      <c r="C18" s="7" t="s">
        <v>589</v>
      </c>
      <c r="D18" s="7" t="s">
        <v>614</v>
      </c>
      <c r="E18" s="7" t="s">
        <v>615</v>
      </c>
      <c r="F18" s="7">
        <v>0.317</v>
      </c>
      <c r="G18" s="7">
        <v>0.268</v>
      </c>
      <c r="H18" s="7" t="s">
        <v>70</v>
      </c>
      <c r="I18" s="7" t="s">
        <v>38</v>
      </c>
      <c r="J18" s="7" t="s">
        <v>616</v>
      </c>
      <c r="K18" s="8">
        <f>F18*1.06</f>
      </c>
      <c r="L18" s="9">
        <v>224.23</v>
      </c>
      <c r="M18" s="28">
        <v>369</v>
      </c>
      <c r="N18" s="28"/>
      <c r="O18" s="29">
        <f>IFERROR((N18-M18)*K18,0)</f>
      </c>
      <c r="P18" s="28">
        <v>237.76569037656904</v>
      </c>
      <c r="Q18" s="28">
        <v>369</v>
      </c>
      <c r="R18" s="28"/>
      <c r="S18" s="30">
        <f>IFERROR((P18/Q18)*R18,0)</f>
      </c>
      <c r="T18" s="30">
        <f>IFERROR((S18-P18)*((F18-G18)*0.8),0)</f>
      </c>
      <c r="U18" s="31">
        <f>ROUND(L18+O18-T18,2)</f>
      </c>
      <c r="V18" s="13">
        <v>0</v>
      </c>
      <c r="W18" s="14">
        <f>(U18-L18)*V18/100000</f>
      </c>
    </row>
    <row r="19" spans="1:23" x14ac:dyDescent="0.25">
      <c r="A19" s="15">
        <v>16</v>
      </c>
      <c r="B19" s="15">
        <f>D19&amp;H19</f>
      </c>
      <c r="C19" s="15" t="s">
        <v>589</v>
      </c>
      <c r="D19" s="15" t="s">
        <v>617</v>
      </c>
      <c r="E19" s="15" t="s">
        <v>618</v>
      </c>
      <c r="F19" s="15">
        <v>0.731</v>
      </c>
      <c r="G19" s="15">
        <v>0.61</v>
      </c>
      <c r="H19" s="15" t="s">
        <v>70</v>
      </c>
      <c r="I19" s="15" t="s">
        <v>38</v>
      </c>
      <c r="J19" s="15" t="s">
        <v>619</v>
      </c>
      <c r="K19" s="16">
        <f>F19*1.06</f>
      </c>
      <c r="L19" s="17">
        <v>387.06</v>
      </c>
      <c r="M19" s="32">
        <v>369</v>
      </c>
      <c r="N19" s="32"/>
      <c r="O19" s="33">
        <f>IFERROR((N19-M19)*K19,0)</f>
      </c>
      <c r="P19" s="32">
        <v>237.76569037656904</v>
      </c>
      <c r="Q19" s="32">
        <v>369</v>
      </c>
      <c r="R19" s="32"/>
      <c r="S19" s="34">
        <f>IFERROR((P19/Q19)*R19,0)</f>
      </c>
      <c r="T19" s="34">
        <f>IFERROR((S19-P19)*((F19-G19)*0.8),0)</f>
      </c>
      <c r="U19" s="35">
        <f>ROUND(L19+O19-T19,2)</f>
      </c>
      <c r="V19" s="21">
        <v>0</v>
      </c>
      <c r="W19" s="22">
        <f>(U19-L19)*V19/100000</f>
      </c>
    </row>
    <row r="20" spans="1:23" x14ac:dyDescent="0.25">
      <c r="A20" s="7">
        <v>17</v>
      </c>
      <c r="B20" s="7">
        <f>D20&amp;H20</f>
      </c>
      <c r="C20" s="7" t="s">
        <v>589</v>
      </c>
      <c r="D20" s="7" t="s">
        <v>620</v>
      </c>
      <c r="E20" s="7" t="s">
        <v>621</v>
      </c>
      <c r="F20" s="7">
        <v>1.363</v>
      </c>
      <c r="G20" s="7">
        <v>1.363</v>
      </c>
      <c r="H20" s="7" t="s">
        <v>154</v>
      </c>
      <c r="I20" s="7" t="s">
        <v>46</v>
      </c>
      <c r="J20" s="7" t="s">
        <v>622</v>
      </c>
      <c r="K20" s="8">
        <f>F20*1.06</f>
      </c>
      <c r="L20" s="9">
        <v>759.22</v>
      </c>
      <c r="M20" s="28">
        <v>381</v>
      </c>
      <c r="N20" s="28"/>
      <c r="O20" s="29">
        <f>IFERROR((N20-M20)*K20,0)</f>
      </c>
      <c r="P20" s="36" t="s">
        <v>85</v>
      </c>
      <c r="Q20" s="36" t="s">
        <v>85</v>
      </c>
      <c r="R20" s="36" t="s">
        <v>85</v>
      </c>
      <c r="S20" s="36" t="s">
        <v>85</v>
      </c>
      <c r="T20" s="30">
        <v>0</v>
      </c>
      <c r="U20" s="31">
        <f>ROUND(L20+O20-T20,2)</f>
      </c>
      <c r="V20" s="13">
        <v>0</v>
      </c>
      <c r="W20" s="14">
        <f>(U20-L20)*V20/100000</f>
      </c>
    </row>
    <row r="21" spans="1:23" x14ac:dyDescent="0.25">
      <c r="A21" s="15">
        <v>18</v>
      </c>
      <c r="B21" s="15">
        <f>D21&amp;H21</f>
      </c>
      <c r="C21" s="15" t="s">
        <v>589</v>
      </c>
      <c r="D21" s="15" t="s">
        <v>600</v>
      </c>
      <c r="E21" s="15" t="s">
        <v>601</v>
      </c>
      <c r="F21" s="15">
        <v>1.038</v>
      </c>
      <c r="G21" s="15">
        <v>1.038</v>
      </c>
      <c r="H21" s="15" t="s">
        <v>154</v>
      </c>
      <c r="I21" s="15" t="s">
        <v>38</v>
      </c>
      <c r="J21" s="15" t="s">
        <v>623</v>
      </c>
      <c r="K21" s="16">
        <f>F21*1.06</f>
      </c>
      <c r="L21" s="17">
        <v>506.96</v>
      </c>
      <c r="M21" s="32">
        <v>369</v>
      </c>
      <c r="N21" s="32"/>
      <c r="O21" s="33">
        <f>IFERROR((N21-M21)*K21,0)</f>
      </c>
      <c r="P21" s="37" t="s">
        <v>85</v>
      </c>
      <c r="Q21" s="37" t="s">
        <v>85</v>
      </c>
      <c r="R21" s="37" t="s">
        <v>85</v>
      </c>
      <c r="S21" s="37" t="s">
        <v>85</v>
      </c>
      <c r="T21" s="34">
        <v>0</v>
      </c>
      <c r="U21" s="35">
        <f>ROUND(L21+O21-T21,2)</f>
      </c>
      <c r="V21" s="21">
        <v>0</v>
      </c>
      <c r="W21" s="22">
        <f>(U21-L21)*V21/100000</f>
      </c>
    </row>
    <row r="22" spans="1:23" x14ac:dyDescent="0.25">
      <c r="A22" s="7">
        <v>19</v>
      </c>
      <c r="B22" s="7">
        <f>D22&amp;H22</f>
      </c>
      <c r="C22" s="7" t="s">
        <v>589</v>
      </c>
      <c r="D22" s="7" t="s">
        <v>614</v>
      </c>
      <c r="E22" s="7" t="s">
        <v>615</v>
      </c>
      <c r="F22" s="7">
        <v>0.317</v>
      </c>
      <c r="G22" s="7">
        <v>0.268</v>
      </c>
      <c r="H22" s="7" t="s">
        <v>83</v>
      </c>
      <c r="I22" s="7" t="s">
        <v>38</v>
      </c>
      <c r="J22" s="7" t="s">
        <v>624</v>
      </c>
      <c r="K22" s="8">
        <f>F22*1.06</f>
      </c>
      <c r="L22" s="9">
        <v>225.43</v>
      </c>
      <c r="M22" s="28">
        <v>369</v>
      </c>
      <c r="N22" s="28"/>
      <c r="O22" s="29">
        <f>IFERROR((N22-M22)*K22,0)</f>
      </c>
      <c r="P22" s="28">
        <v>237.76569037656904</v>
      </c>
      <c r="Q22" s="28">
        <v>369</v>
      </c>
      <c r="R22" s="28"/>
      <c r="S22" s="30">
        <f>IFERROR((P22/Q22)*R22,0)</f>
      </c>
      <c r="T22" s="30">
        <f>IFERROR((S22-P22)*((F22-G22)*0.8),0)</f>
      </c>
      <c r="U22" s="31">
        <f>ROUND(L22+O22-T22,2)</f>
      </c>
      <c r="V22" s="13">
        <v>0</v>
      </c>
      <c r="W22" s="14">
        <f>(U22-L22)*V22/100000</f>
      </c>
    </row>
    <row r="23" spans="1:23" x14ac:dyDescent="0.25">
      <c r="A23" s="15">
        <v>20</v>
      </c>
      <c r="B23" s="15">
        <f>D23&amp;H23</f>
      </c>
      <c r="C23" s="15" t="s">
        <v>589</v>
      </c>
      <c r="D23" s="15" t="s">
        <v>604</v>
      </c>
      <c r="E23" s="15" t="s">
        <v>592</v>
      </c>
      <c r="F23" s="15">
        <v>1.047</v>
      </c>
      <c r="G23" s="15">
        <v>0.943</v>
      </c>
      <c r="H23" s="15" t="s">
        <v>83</v>
      </c>
      <c r="I23" s="15" t="s">
        <v>38</v>
      </c>
      <c r="J23" s="15" t="s">
        <v>625</v>
      </c>
      <c r="K23" s="16">
        <f>F23*1.06</f>
      </c>
      <c r="L23" s="17">
        <v>599.53</v>
      </c>
      <c r="M23" s="32">
        <v>369</v>
      </c>
      <c r="N23" s="32"/>
      <c r="O23" s="33">
        <f>IFERROR((N23-M23)*K23,0)</f>
      </c>
      <c r="P23" s="32">
        <v>237.76569037656904</v>
      </c>
      <c r="Q23" s="32">
        <v>369</v>
      </c>
      <c r="R23" s="32"/>
      <c r="S23" s="34">
        <f>IFERROR((P23/Q23)*R23,0)</f>
      </c>
      <c r="T23" s="34">
        <f>IFERROR((S23-P23)*((F23-G23)*0.8),0)</f>
      </c>
      <c r="U23" s="35">
        <f>ROUND(L23+O23-T23,2)</f>
      </c>
      <c r="V23" s="21">
        <v>0</v>
      </c>
      <c r="W23" s="22">
        <f>(U23-L23)*V23/100000</f>
      </c>
    </row>
    <row r="24" spans="1:23" x14ac:dyDescent="0.25">
      <c r="A24" s="7">
        <v>21</v>
      </c>
      <c r="B24" s="7">
        <f>D24&amp;H24</f>
      </c>
      <c r="C24" s="7" t="s">
        <v>589</v>
      </c>
      <c r="D24" s="7" t="s">
        <v>591</v>
      </c>
      <c r="E24" s="7" t="s">
        <v>592</v>
      </c>
      <c r="F24" s="7">
        <v>1.047</v>
      </c>
      <c r="G24" s="7">
        <v>0.923</v>
      </c>
      <c r="H24" s="7" t="s">
        <v>83</v>
      </c>
      <c r="I24" s="7" t="s">
        <v>38</v>
      </c>
      <c r="J24" s="7" t="s">
        <v>626</v>
      </c>
      <c r="K24" s="8">
        <f>F24*1.06</f>
      </c>
      <c r="L24" s="9">
        <v>596.7</v>
      </c>
      <c r="M24" s="28">
        <v>369</v>
      </c>
      <c r="N24" s="28"/>
      <c r="O24" s="29">
        <f>IFERROR((N24-M24)*K24,0)</f>
      </c>
      <c r="P24" s="28">
        <v>237.76569037656904</v>
      </c>
      <c r="Q24" s="28">
        <v>369</v>
      </c>
      <c r="R24" s="28"/>
      <c r="S24" s="30">
        <f>IFERROR((P24/Q24)*R24,0)</f>
      </c>
      <c r="T24" s="30">
        <f>IFERROR((S24-P24)*((F24-G24)*0.8),0)</f>
      </c>
      <c r="U24" s="31">
        <f>ROUND(L24+O24-T24,2)</f>
      </c>
      <c r="V24" s="13">
        <v>0</v>
      </c>
      <c r="W24" s="14">
        <f>(U24-L24)*V24/100000</f>
      </c>
    </row>
    <row r="25" spans="1:23" x14ac:dyDescent="0.25">
      <c r="A25" s="15">
        <v>22</v>
      </c>
      <c r="B25" s="15">
        <f>D25&amp;H25</f>
      </c>
      <c r="C25" s="15" t="s">
        <v>589</v>
      </c>
      <c r="D25" s="15" t="s">
        <v>627</v>
      </c>
      <c r="E25" s="15" t="s">
        <v>628</v>
      </c>
      <c r="F25" s="15">
        <v>0.296</v>
      </c>
      <c r="G25" s="15">
        <v>0.25</v>
      </c>
      <c r="H25" s="15" t="s">
        <v>83</v>
      </c>
      <c r="I25" s="15" t="s">
        <v>38</v>
      </c>
      <c r="J25" s="15" t="s">
        <v>629</v>
      </c>
      <c r="K25" s="16">
        <f>F25*1.06</f>
      </c>
      <c r="L25" s="17">
        <v>182.77</v>
      </c>
      <c r="M25" s="32">
        <v>369</v>
      </c>
      <c r="N25" s="32"/>
      <c r="O25" s="33">
        <f>IFERROR((N25-M25)*K25,0)</f>
      </c>
      <c r="P25" s="32">
        <v>237.76569037656904</v>
      </c>
      <c r="Q25" s="32">
        <v>369</v>
      </c>
      <c r="R25" s="32"/>
      <c r="S25" s="34">
        <f>IFERROR((P25/Q25)*R25,0)</f>
      </c>
      <c r="T25" s="34">
        <f>IFERROR((S25-P25)*((F25-G25)*0.8),0)</f>
      </c>
      <c r="U25" s="35">
        <f>ROUND(L25+O25-T25,2)</f>
      </c>
      <c r="V25" s="21">
        <v>0</v>
      </c>
      <c r="W25" s="22">
        <f>(U25-L25)*V25/100000</f>
      </c>
    </row>
    <row r="26" spans="1:23" x14ac:dyDescent="0.25">
      <c r="A26" s="7">
        <v>23</v>
      </c>
      <c r="B26" s="7">
        <f>D26&amp;H26</f>
      </c>
      <c r="C26" s="7" t="s">
        <v>589</v>
      </c>
      <c r="D26" s="7" t="s">
        <v>630</v>
      </c>
      <c r="E26" s="7" t="s">
        <v>631</v>
      </c>
      <c r="F26" s="7">
        <v>0.434</v>
      </c>
      <c r="G26" s="7">
        <v>0.38</v>
      </c>
      <c r="H26" s="7" t="s">
        <v>83</v>
      </c>
      <c r="I26" s="7" t="s">
        <v>38</v>
      </c>
      <c r="J26" s="7" t="s">
        <v>632</v>
      </c>
      <c r="K26" s="8">
        <f>F26*1.06</f>
      </c>
      <c r="L26" s="9">
        <v>318.82</v>
      </c>
      <c r="M26" s="28">
        <v>369</v>
      </c>
      <c r="N26" s="28"/>
      <c r="O26" s="29">
        <f>IFERROR((N26-M26)*K26,0)</f>
      </c>
      <c r="P26" s="28">
        <v>237.76569037656904</v>
      </c>
      <c r="Q26" s="28">
        <v>369</v>
      </c>
      <c r="R26" s="28"/>
      <c r="S26" s="30">
        <f>IFERROR((P26/Q26)*R26,0)</f>
      </c>
      <c r="T26" s="30">
        <f>IFERROR((S26-P26)*((F26-G26)*0.8),0)</f>
      </c>
      <c r="U26" s="31">
        <f>ROUND(L26+O26-T26,2)</f>
      </c>
      <c r="V26" s="13">
        <v>0</v>
      </c>
      <c r="W26" s="14">
        <f>(U26-L26)*V26/100000</f>
      </c>
    </row>
    <row r="27" spans="1:23" x14ac:dyDescent="0.25">
      <c r="A27" s="15">
        <v>24</v>
      </c>
      <c r="B27" s="15">
        <f>D27&amp;H27</f>
      </c>
      <c r="C27" s="15" t="s">
        <v>589</v>
      </c>
      <c r="D27" s="15" t="s">
        <v>617</v>
      </c>
      <c r="E27" s="15" t="s">
        <v>618</v>
      </c>
      <c r="F27" s="15">
        <v>0.731</v>
      </c>
      <c r="G27" s="15">
        <v>0.61</v>
      </c>
      <c r="H27" s="15" t="s">
        <v>83</v>
      </c>
      <c r="I27" s="15" t="s">
        <v>38</v>
      </c>
      <c r="J27" s="15" t="s">
        <v>633</v>
      </c>
      <c r="K27" s="16">
        <f>F27*1.06</f>
      </c>
      <c r="L27" s="17">
        <v>433.95</v>
      </c>
      <c r="M27" s="32">
        <v>369</v>
      </c>
      <c r="N27" s="32"/>
      <c r="O27" s="33">
        <f>IFERROR((N27-M27)*K27,0)</f>
      </c>
      <c r="P27" s="32">
        <v>237.76569037656904</v>
      </c>
      <c r="Q27" s="32">
        <v>369</v>
      </c>
      <c r="R27" s="32"/>
      <c r="S27" s="34">
        <f>IFERROR((P27/Q27)*R27,0)</f>
      </c>
      <c r="T27" s="34">
        <f>IFERROR((S27-P27)*((F27-G27)*0.8),0)</f>
      </c>
      <c r="U27" s="35">
        <f>ROUND(L27+O27-T27,2)</f>
      </c>
      <c r="V27" s="21">
        <v>0</v>
      </c>
      <c r="W27" s="22">
        <f>(U27-L27)*V27/100000</f>
      </c>
    </row>
    <row r="28" spans="1:23" x14ac:dyDescent="0.25">
      <c r="A28" s="7">
        <v>25</v>
      </c>
      <c r="B28" s="7">
        <f>D28&amp;H28</f>
      </c>
      <c r="C28" s="7" t="s">
        <v>589</v>
      </c>
      <c r="D28" s="7" t="s">
        <v>634</v>
      </c>
      <c r="E28" s="7" t="s">
        <v>635</v>
      </c>
      <c r="F28" s="7">
        <v>0.296</v>
      </c>
      <c r="G28" s="7">
        <v>0.25</v>
      </c>
      <c r="H28" s="7" t="s">
        <v>83</v>
      </c>
      <c r="I28" s="7" t="s">
        <v>38</v>
      </c>
      <c r="J28" s="7" t="s">
        <v>636</v>
      </c>
      <c r="K28" s="8">
        <f>F28*1.06</f>
      </c>
      <c r="L28" s="9">
        <v>182.77</v>
      </c>
      <c r="M28" s="28">
        <v>369</v>
      </c>
      <c r="N28" s="28"/>
      <c r="O28" s="29">
        <f>IFERROR((N28-M28)*K28,0)</f>
      </c>
      <c r="P28" s="28">
        <v>237.76569037656904</v>
      </c>
      <c r="Q28" s="28">
        <v>369</v>
      </c>
      <c r="R28" s="28"/>
      <c r="S28" s="30">
        <f>IFERROR((P28/Q28)*R28,0)</f>
      </c>
      <c r="T28" s="30">
        <f>IFERROR((S28-P28)*((F28-G28)*0.8),0)</f>
      </c>
      <c r="U28" s="31">
        <f>ROUND(L28+O28-T28,2)</f>
      </c>
      <c r="V28" s="13">
        <v>0</v>
      </c>
      <c r="W28" s="14">
        <f>(U28-L28)*V28/100000</f>
      </c>
    </row>
    <row r="29" spans="1:23" x14ac:dyDescent="0.25">
      <c r="A29" s="15">
        <v>26</v>
      </c>
      <c r="B29" s="15">
        <f>D29&amp;H29</f>
      </c>
      <c r="C29" s="15" t="s">
        <v>589</v>
      </c>
      <c r="D29" s="15" t="s">
        <v>459</v>
      </c>
      <c r="E29" s="15" t="s">
        <v>460</v>
      </c>
      <c r="F29" s="15">
        <v>1.052</v>
      </c>
      <c r="G29" s="15">
        <v>1.032</v>
      </c>
      <c r="H29" s="15" t="s">
        <v>83</v>
      </c>
      <c r="I29" s="15" t="s">
        <v>71</v>
      </c>
      <c r="J29" s="15" t="s">
        <v>637</v>
      </c>
      <c r="K29" s="16">
        <f>F29*1.06</f>
      </c>
      <c r="L29" s="17">
        <v>555.97</v>
      </c>
      <c r="M29" s="32">
        <v>377</v>
      </c>
      <c r="N29" s="32"/>
      <c r="O29" s="33">
        <f>IFERROR((N29-M29)*K29,0)</f>
      </c>
      <c r="P29" s="32">
        <v>237.76569037656904</v>
      </c>
      <c r="Q29" s="32">
        <v>369</v>
      </c>
      <c r="R29" s="32"/>
      <c r="S29" s="34">
        <f>IFERROR((P29/Q29)*R29,0)</f>
      </c>
      <c r="T29" s="34">
        <f>IFERROR((S29-P29)*((F29-G29)*0.8),0)</f>
      </c>
      <c r="U29" s="35">
        <f>ROUND(L29+O29-T29,2)</f>
      </c>
      <c r="V29" s="21">
        <v>0</v>
      </c>
      <c r="W29" s="22">
        <f>(U29-L29)*V29/100000</f>
      </c>
    </row>
    <row r="30" spans="1:23" x14ac:dyDescent="0.25">
      <c r="A30" s="7">
        <v>27</v>
      </c>
      <c r="B30" s="7">
        <f>D30&amp;H30</f>
      </c>
      <c r="C30" s="7" t="s">
        <v>589</v>
      </c>
      <c r="D30" s="7" t="s">
        <v>638</v>
      </c>
      <c r="E30" s="7" t="s">
        <v>41</v>
      </c>
      <c r="F30" s="7">
        <v>1.023</v>
      </c>
      <c r="G30" s="7">
        <v>1.023</v>
      </c>
      <c r="H30" s="7" t="s">
        <v>83</v>
      </c>
      <c r="I30" s="7" t="s">
        <v>38</v>
      </c>
      <c r="J30" s="7" t="s">
        <v>639</v>
      </c>
      <c r="K30" s="8">
        <f>F30*1.06</f>
      </c>
      <c r="L30" s="9">
        <v>552.01</v>
      </c>
      <c r="M30" s="28">
        <v>369</v>
      </c>
      <c r="N30" s="28"/>
      <c r="O30" s="29">
        <f>IFERROR((N30-M30)*K30,0)</f>
      </c>
      <c r="P30" s="36" t="s">
        <v>85</v>
      </c>
      <c r="Q30" s="36" t="s">
        <v>85</v>
      </c>
      <c r="R30" s="36" t="s">
        <v>85</v>
      </c>
      <c r="S30" s="36" t="s">
        <v>85</v>
      </c>
      <c r="T30" s="30">
        <v>0</v>
      </c>
      <c r="U30" s="31">
        <f>ROUND(L30+O30-T30,2)</f>
      </c>
      <c r="V30" s="13">
        <v>0</v>
      </c>
      <c r="W30" s="14">
        <f>(U30-L30)*V30/100000</f>
      </c>
    </row>
    <row r="31" spans="1:23" x14ac:dyDescent="0.25">
      <c r="A31" s="15">
        <v>28</v>
      </c>
      <c r="B31" s="15">
        <f>D31&amp;H31</f>
      </c>
      <c r="C31" s="15" t="s">
        <v>589</v>
      </c>
      <c r="D31" s="15" t="s">
        <v>596</v>
      </c>
      <c r="E31" s="15" t="s">
        <v>41</v>
      </c>
      <c r="F31" s="15">
        <v>1.036</v>
      </c>
      <c r="G31" s="15">
        <v>1.036</v>
      </c>
      <c r="H31" s="15" t="s">
        <v>83</v>
      </c>
      <c r="I31" s="15" t="s">
        <v>38</v>
      </c>
      <c r="J31" s="15" t="s">
        <v>640</v>
      </c>
      <c r="K31" s="16">
        <f>F31*1.06</f>
      </c>
      <c r="L31" s="17">
        <v>557.96</v>
      </c>
      <c r="M31" s="32">
        <v>369</v>
      </c>
      <c r="N31" s="32"/>
      <c r="O31" s="33">
        <f>IFERROR((N31-M31)*K31,0)</f>
      </c>
      <c r="P31" s="37" t="s">
        <v>85</v>
      </c>
      <c r="Q31" s="37" t="s">
        <v>85</v>
      </c>
      <c r="R31" s="37" t="s">
        <v>85</v>
      </c>
      <c r="S31" s="37" t="s">
        <v>85</v>
      </c>
      <c r="T31" s="34">
        <v>0</v>
      </c>
      <c r="U31" s="35">
        <f>ROUND(L31+O31-T31,2)</f>
      </c>
      <c r="V31" s="21">
        <v>0</v>
      </c>
      <c r="W31" s="22">
        <f>(U31-L31)*V31/100000</f>
      </c>
    </row>
    <row r="32" spans="1:23" x14ac:dyDescent="0.25">
      <c r="A32" s="7">
        <v>29</v>
      </c>
      <c r="B32" s="7">
        <f>D32&amp;H32</f>
      </c>
      <c r="C32" s="7" t="s">
        <v>589</v>
      </c>
      <c r="D32" s="7" t="s">
        <v>532</v>
      </c>
      <c r="E32" s="7" t="s">
        <v>432</v>
      </c>
      <c r="F32" s="7">
        <v>0.716</v>
      </c>
      <c r="G32" s="7">
        <v>0.669</v>
      </c>
      <c r="H32" s="7" t="s">
        <v>83</v>
      </c>
      <c r="I32" s="7" t="s">
        <v>38</v>
      </c>
      <c r="J32" s="7" t="s">
        <v>641</v>
      </c>
      <c r="K32" s="8">
        <f>F32*1.06</f>
      </c>
      <c r="L32" s="9">
        <v>408.7</v>
      </c>
      <c r="M32" s="28">
        <v>369</v>
      </c>
      <c r="N32" s="28"/>
      <c r="O32" s="29">
        <f>IFERROR((N32-M32)*K32,0)</f>
      </c>
      <c r="P32" s="28">
        <v>237.76569037656904</v>
      </c>
      <c r="Q32" s="28">
        <v>369</v>
      </c>
      <c r="R32" s="28"/>
      <c r="S32" s="30">
        <f>IFERROR((P32/Q32)*R32,0)</f>
      </c>
      <c r="T32" s="30">
        <f>IFERROR((S32-P32)*((F32-G32)*0.8),0)</f>
      </c>
      <c r="U32" s="31">
        <f>ROUND(L32+O32-T32,2)</f>
      </c>
      <c r="V32" s="13">
        <v>0</v>
      </c>
      <c r="W32" s="14">
        <f>(U32-L32)*V32/100000</f>
      </c>
    </row>
    <row r="33" spans="1:23" x14ac:dyDescent="0.25">
      <c r="A33" s="15">
        <v>30</v>
      </c>
      <c r="B33" s="15">
        <f>D33&amp;H33</f>
      </c>
      <c r="C33" s="15" t="s">
        <v>589</v>
      </c>
      <c r="D33" s="15" t="s">
        <v>167</v>
      </c>
      <c r="E33" s="15" t="s">
        <v>82</v>
      </c>
      <c r="F33" s="15">
        <v>0.317</v>
      </c>
      <c r="G33" s="15">
        <v>0.279</v>
      </c>
      <c r="H33" s="15" t="s">
        <v>83</v>
      </c>
      <c r="I33" s="15" t="s">
        <v>38</v>
      </c>
      <c r="J33" s="15" t="s">
        <v>642</v>
      </c>
      <c r="K33" s="16">
        <f>F33*1.06</f>
      </c>
      <c r="L33" s="17">
        <v>225.16</v>
      </c>
      <c r="M33" s="32">
        <v>369</v>
      </c>
      <c r="N33" s="32"/>
      <c r="O33" s="33">
        <f>IFERROR((N33-M33)*K33,0)</f>
      </c>
      <c r="P33" s="32">
        <v>237.76569037656904</v>
      </c>
      <c r="Q33" s="32">
        <v>369</v>
      </c>
      <c r="R33" s="32"/>
      <c r="S33" s="34">
        <f>IFERROR((P33/Q33)*R33,0)</f>
      </c>
      <c r="T33" s="34">
        <f>IFERROR((S33-P33)*((F33-G33)*0.8),0)</f>
      </c>
      <c r="U33" s="35">
        <f>ROUND(L33+O33-T33,2)</f>
      </c>
      <c r="V33" s="21">
        <v>0</v>
      </c>
      <c r="W33" s="22">
        <f>(U33-L33)*V33/100000</f>
      </c>
    </row>
    <row r="34" spans="1:23" x14ac:dyDescent="0.25">
      <c r="A34" s="7">
        <v>31</v>
      </c>
      <c r="B34" s="7">
        <f>D34&amp;H34</f>
      </c>
      <c r="C34" s="7" t="s">
        <v>589</v>
      </c>
      <c r="D34" s="7" t="s">
        <v>307</v>
      </c>
      <c r="E34" s="7" t="s">
        <v>82</v>
      </c>
      <c r="F34" s="7">
        <v>0.317</v>
      </c>
      <c r="G34" s="7">
        <v>0.279</v>
      </c>
      <c r="H34" s="7" t="s">
        <v>83</v>
      </c>
      <c r="I34" s="7" t="s">
        <v>38</v>
      </c>
      <c r="J34" s="7" t="s">
        <v>643</v>
      </c>
      <c r="K34" s="8">
        <f>F34*1.06</f>
      </c>
      <c r="L34" s="9">
        <v>225.16</v>
      </c>
      <c r="M34" s="28">
        <v>369</v>
      </c>
      <c r="N34" s="28"/>
      <c r="O34" s="29">
        <f>IFERROR((N34-M34)*K34,0)</f>
      </c>
      <c r="P34" s="28">
        <v>237.76569037656904</v>
      </c>
      <c r="Q34" s="28">
        <v>369</v>
      </c>
      <c r="R34" s="28"/>
      <c r="S34" s="30">
        <f>IFERROR((P34/Q34)*R34,0)</f>
      </c>
      <c r="T34" s="30">
        <f>IFERROR((S34-P34)*((F34-G34)*0.8),0)</f>
      </c>
      <c r="U34" s="31">
        <f>ROUND(L34+O34-T34,2)</f>
      </c>
      <c r="V34" s="13">
        <v>0</v>
      </c>
      <c r="W34" s="14">
        <f>(U34-L34)*V34/100000</f>
      </c>
    </row>
    <row r="35" spans="1:23" x14ac:dyDescent="0.25">
      <c r="A35" s="15">
        <v>32</v>
      </c>
      <c r="B35" s="15">
        <f>D35&amp;H35</f>
      </c>
      <c r="C35" s="15" t="s">
        <v>589</v>
      </c>
      <c r="D35" s="15" t="s">
        <v>304</v>
      </c>
      <c r="E35" s="15" t="s">
        <v>305</v>
      </c>
      <c r="F35" s="15">
        <v>0.317</v>
      </c>
      <c r="G35" s="15">
        <v>0.272</v>
      </c>
      <c r="H35" s="15" t="s">
        <v>83</v>
      </c>
      <c r="I35" s="15" t="s">
        <v>38</v>
      </c>
      <c r="J35" s="15" t="s">
        <v>644</v>
      </c>
      <c r="K35" s="16">
        <f>F35*1.06</f>
      </c>
      <c r="L35" s="17">
        <v>224.81</v>
      </c>
      <c r="M35" s="32">
        <v>369</v>
      </c>
      <c r="N35" s="32"/>
      <c r="O35" s="33">
        <f>IFERROR((N35-M35)*K35,0)</f>
      </c>
      <c r="P35" s="32">
        <v>237.76569037656904</v>
      </c>
      <c r="Q35" s="32">
        <v>369</v>
      </c>
      <c r="R35" s="32"/>
      <c r="S35" s="34">
        <f>IFERROR((P35/Q35)*R35,0)</f>
      </c>
      <c r="T35" s="34">
        <f>IFERROR((S35-P35)*((F35-G35)*0.8),0)</f>
      </c>
      <c r="U35" s="35">
        <f>ROUND(L35+O35-T35,2)</f>
      </c>
      <c r="V35" s="21">
        <v>0</v>
      </c>
      <c r="W35" s="22">
        <f>(U35-L35)*V35/100000</f>
      </c>
    </row>
    <row r="36" spans="1:23" x14ac:dyDescent="0.25">
      <c r="A36" s="7">
        <v>33</v>
      </c>
      <c r="B36" s="7">
        <f>D36&amp;H36</f>
      </c>
      <c r="C36" s="7" t="s">
        <v>589</v>
      </c>
      <c r="D36" s="7" t="s">
        <v>594</v>
      </c>
      <c r="E36" s="7" t="s">
        <v>592</v>
      </c>
      <c r="F36" s="7">
        <v>1.047</v>
      </c>
      <c r="G36" s="7">
        <v>0.946</v>
      </c>
      <c r="H36" s="7" t="s">
        <v>83</v>
      </c>
      <c r="I36" s="7" t="s">
        <v>38</v>
      </c>
      <c r="J36" s="7" t="s">
        <v>645</v>
      </c>
      <c r="K36" s="8">
        <f>F36*1.06</f>
      </c>
      <c r="L36" s="9">
        <v>598.84</v>
      </c>
      <c r="M36" s="28">
        <v>369</v>
      </c>
      <c r="N36" s="28"/>
      <c r="O36" s="29">
        <f>IFERROR((N36-M36)*K36,0)</f>
      </c>
      <c r="P36" s="28">
        <v>237.76569037656904</v>
      </c>
      <c r="Q36" s="28">
        <v>369</v>
      </c>
      <c r="R36" s="28"/>
      <c r="S36" s="30">
        <f>IFERROR((P36/Q36)*R36,0)</f>
      </c>
      <c r="T36" s="30">
        <f>IFERROR((S36-P36)*((F36-G36)*0.8),0)</f>
      </c>
      <c r="U36" s="31">
        <f>ROUND(L36+O36-T36,2)</f>
      </c>
      <c r="V36" s="13">
        <v>0</v>
      </c>
      <c r="W36" s="14">
        <f>(U36-L36)*V36/100000</f>
      </c>
    </row>
    <row r="37" spans="1:23" x14ac:dyDescent="0.25">
      <c r="A37" s="15">
        <v>34</v>
      </c>
      <c r="B37" s="15">
        <f>D37&amp;H37</f>
      </c>
      <c r="C37" s="15" t="s">
        <v>589</v>
      </c>
      <c r="D37" s="15" t="s">
        <v>465</v>
      </c>
      <c r="E37" s="15" t="s">
        <v>466</v>
      </c>
      <c r="F37" s="15">
        <v>1.022</v>
      </c>
      <c r="G37" s="15">
        <v>1.022</v>
      </c>
      <c r="H37" s="15" t="s">
        <v>83</v>
      </c>
      <c r="I37" s="15" t="s">
        <v>38</v>
      </c>
      <c r="J37" s="15" t="s">
        <v>646</v>
      </c>
      <c r="K37" s="16">
        <f>F37*1.06</f>
      </c>
      <c r="L37" s="17">
        <v>526.78</v>
      </c>
      <c r="M37" s="32">
        <v>369</v>
      </c>
      <c r="N37" s="32"/>
      <c r="O37" s="33">
        <f>IFERROR((N37-M37)*K37,0)</f>
      </c>
      <c r="P37" s="37" t="s">
        <v>85</v>
      </c>
      <c r="Q37" s="37" t="s">
        <v>85</v>
      </c>
      <c r="R37" s="37" t="s">
        <v>85</v>
      </c>
      <c r="S37" s="37" t="s">
        <v>85</v>
      </c>
      <c r="T37" s="34">
        <v>0</v>
      </c>
      <c r="U37" s="35">
        <f>ROUND(L37+O37-T37,2)</f>
      </c>
      <c r="V37" s="21">
        <v>0</v>
      </c>
      <c r="W37" s="22">
        <f>(U37-L37)*V37/100000</f>
      </c>
    </row>
    <row r="38" spans="1:23" x14ac:dyDescent="0.25">
      <c r="A38" s="7">
        <v>35</v>
      </c>
      <c r="B38" s="7">
        <f>D38&amp;H38</f>
      </c>
      <c r="C38" s="7" t="s">
        <v>589</v>
      </c>
      <c r="D38" s="7" t="s">
        <v>606</v>
      </c>
      <c r="E38" s="7" t="s">
        <v>607</v>
      </c>
      <c r="F38" s="7">
        <v>0.915</v>
      </c>
      <c r="G38" s="7">
        <v>0.825</v>
      </c>
      <c r="H38" s="7" t="s">
        <v>83</v>
      </c>
      <c r="I38" s="7" t="s">
        <v>38</v>
      </c>
      <c r="J38" s="7" t="s">
        <v>647</v>
      </c>
      <c r="K38" s="8">
        <f>F38*1.06</f>
      </c>
      <c r="L38" s="9">
        <v>556.43</v>
      </c>
      <c r="M38" s="28">
        <v>369</v>
      </c>
      <c r="N38" s="28"/>
      <c r="O38" s="29">
        <f>IFERROR((N38-M38)*K38,0)</f>
      </c>
      <c r="P38" s="28">
        <v>237.76569037656904</v>
      </c>
      <c r="Q38" s="28">
        <v>369</v>
      </c>
      <c r="R38" s="28"/>
      <c r="S38" s="30">
        <f>IFERROR((P38/Q38)*R38,0)</f>
      </c>
      <c r="T38" s="30">
        <f>IFERROR((S38-P38)*((F38-G38)*0.8),0)</f>
      </c>
      <c r="U38" s="31">
        <f>ROUND(L38+O38-T38,2)</f>
      </c>
      <c r="V38" s="13">
        <v>0</v>
      </c>
      <c r="W38" s="14">
        <f>(U38-L38)*V38/100000</f>
      </c>
    </row>
    <row r="39" spans="1:23" x14ac:dyDescent="0.25">
      <c r="A39" s="15">
        <v>36</v>
      </c>
      <c r="B39" s="15">
        <f>D39&amp;H39</f>
      </c>
      <c r="C39" s="15" t="s">
        <v>589</v>
      </c>
      <c r="D39" s="15" t="s">
        <v>648</v>
      </c>
      <c r="E39" s="15" t="s">
        <v>592</v>
      </c>
      <c r="F39" s="15">
        <v>1.047</v>
      </c>
      <c r="G39" s="15">
        <v>0.824</v>
      </c>
      <c r="H39" s="15" t="s">
        <v>83</v>
      </c>
      <c r="I39" s="15" t="s">
        <v>38</v>
      </c>
      <c r="J39" s="15" t="s">
        <v>649</v>
      </c>
      <c r="K39" s="16">
        <f>F39*1.06</f>
      </c>
      <c r="L39" s="17">
        <v>581.63</v>
      </c>
      <c r="M39" s="32">
        <v>369</v>
      </c>
      <c r="N39" s="32"/>
      <c r="O39" s="33">
        <f>IFERROR((N39-M39)*K39,0)</f>
      </c>
      <c r="P39" s="32">
        <v>237.76569037656904</v>
      </c>
      <c r="Q39" s="32">
        <v>369</v>
      </c>
      <c r="R39" s="32"/>
      <c r="S39" s="34">
        <f>IFERROR((P39/Q39)*R39,0)</f>
      </c>
      <c r="T39" s="34">
        <f>IFERROR((S39-P39)*((F39-G39)*0.8),0)</f>
      </c>
      <c r="U39" s="35">
        <f>ROUND(L39+O39-T39,2)</f>
      </c>
      <c r="V39" s="21">
        <v>0</v>
      </c>
      <c r="W39" s="22">
        <f>(U39-L39)*V39/100000</f>
      </c>
    </row>
    <row r="40" spans="1:23" x14ac:dyDescent="0.25">
      <c r="A40" s="7">
        <v>37</v>
      </c>
      <c r="B40" s="7">
        <f>D40&amp;H40</f>
      </c>
      <c r="C40" s="7" t="s">
        <v>589</v>
      </c>
      <c r="D40" s="7" t="s">
        <v>650</v>
      </c>
      <c r="E40" s="7" t="s">
        <v>592</v>
      </c>
      <c r="F40" s="7">
        <v>1.047</v>
      </c>
      <c r="G40" s="7">
        <v>0.923</v>
      </c>
      <c r="H40" s="7" t="s">
        <v>83</v>
      </c>
      <c r="I40" s="7" t="s">
        <v>38</v>
      </c>
      <c r="J40" s="7" t="s">
        <v>651</v>
      </c>
      <c r="K40" s="8">
        <f>F40*1.06</f>
      </c>
      <c r="L40" s="9">
        <v>507.81</v>
      </c>
      <c r="M40" s="28">
        <v>369</v>
      </c>
      <c r="N40" s="28"/>
      <c r="O40" s="29">
        <f>IFERROR((N40-M40)*K40,0)</f>
      </c>
      <c r="P40" s="28">
        <v>237.76569037656904</v>
      </c>
      <c r="Q40" s="28">
        <v>369</v>
      </c>
      <c r="R40" s="28"/>
      <c r="S40" s="30">
        <f>IFERROR((P40/Q40)*R40,0)</f>
      </c>
      <c r="T40" s="30">
        <f>IFERROR((S40-P40)*((F40-G40)*0.8),0)</f>
      </c>
      <c r="U40" s="31">
        <f>ROUND(L40+O40-T40,2)</f>
      </c>
      <c r="V40" s="13">
        <v>0</v>
      </c>
      <c r="W40" s="14">
        <f>(U40-L40)*V40/100000</f>
      </c>
    </row>
    <row r="41" spans="1:23" x14ac:dyDescent="0.25">
      <c r="A41" s="15">
        <v>38</v>
      </c>
      <c r="B41" s="15">
        <f>D41&amp;H41</f>
      </c>
      <c r="C41" s="15" t="s">
        <v>589</v>
      </c>
      <c r="D41" s="15" t="s">
        <v>652</v>
      </c>
      <c r="E41" s="15" t="s">
        <v>592</v>
      </c>
      <c r="F41" s="15">
        <v>0.988</v>
      </c>
      <c r="G41" s="15">
        <v>0.946</v>
      </c>
      <c r="H41" s="15" t="s">
        <v>83</v>
      </c>
      <c r="I41" s="15" t="s">
        <v>38</v>
      </c>
      <c r="J41" s="15" t="s">
        <v>653</v>
      </c>
      <c r="K41" s="16">
        <f>F41*1.06</f>
      </c>
      <c r="L41" s="17">
        <v>502.34</v>
      </c>
      <c r="M41" s="32">
        <v>369</v>
      </c>
      <c r="N41" s="32"/>
      <c r="O41" s="33">
        <f>IFERROR((N41-M41)*K41,0)</f>
      </c>
      <c r="P41" s="32">
        <v>237.76569037656904</v>
      </c>
      <c r="Q41" s="32">
        <v>369</v>
      </c>
      <c r="R41" s="32"/>
      <c r="S41" s="34">
        <f>IFERROR((P41/Q41)*R41,0)</f>
      </c>
      <c r="T41" s="34">
        <f>IFERROR((S41-P41)*((F41-G41)*0.8),0)</f>
      </c>
      <c r="U41" s="35">
        <f>ROUND(L41+O41-T41,2)</f>
      </c>
      <c r="V41" s="21">
        <v>0</v>
      </c>
      <c r="W41" s="22">
        <f>(U41-L41)*V41/100000</f>
      </c>
    </row>
    <row r="42" spans="1:23" x14ac:dyDescent="0.25">
      <c r="A42" s="7">
        <v>39</v>
      </c>
      <c r="B42" s="7">
        <f>D42&amp;H42</f>
      </c>
      <c r="C42" s="7" t="s">
        <v>589</v>
      </c>
      <c r="D42" s="7" t="s">
        <v>654</v>
      </c>
      <c r="E42" s="7" t="s">
        <v>655</v>
      </c>
      <c r="F42" s="7">
        <v>0.566</v>
      </c>
      <c r="G42" s="7">
        <v>0.486</v>
      </c>
      <c r="H42" s="7" t="s">
        <v>83</v>
      </c>
      <c r="I42" s="7" t="s">
        <v>38</v>
      </c>
      <c r="J42" s="7" t="s">
        <v>656</v>
      </c>
      <c r="K42" s="8">
        <f>F42*1.06</f>
      </c>
      <c r="L42" s="9">
        <v>381.56</v>
      </c>
      <c r="M42" s="28">
        <v>369</v>
      </c>
      <c r="N42" s="28"/>
      <c r="O42" s="29">
        <f>IFERROR((N42-M42)*K42,0)</f>
      </c>
      <c r="P42" s="28">
        <v>237.76569037656904</v>
      </c>
      <c r="Q42" s="28">
        <v>369</v>
      </c>
      <c r="R42" s="28"/>
      <c r="S42" s="30">
        <f>IFERROR((P42/Q42)*R42,0)</f>
      </c>
      <c r="T42" s="30">
        <f>IFERROR((S42-P42)*((F42-G42)*0.8),0)</f>
      </c>
      <c r="U42" s="31">
        <f>ROUND(L42+O42-T42,2)</f>
      </c>
      <c r="V42" s="13">
        <v>0</v>
      </c>
      <c r="W42" s="14">
        <f>(U42-L42)*V42/100000</f>
      </c>
    </row>
    <row r="43" spans="1:23" x14ac:dyDescent="0.25">
      <c r="A43" s="15">
        <v>40</v>
      </c>
      <c r="B43" s="15">
        <f>D43&amp;H43</f>
      </c>
      <c r="C43" s="15" t="s">
        <v>589</v>
      </c>
      <c r="D43" s="15" t="s">
        <v>657</v>
      </c>
      <c r="E43" s="15" t="s">
        <v>655</v>
      </c>
      <c r="F43" s="15">
        <v>0.566</v>
      </c>
      <c r="G43" s="15">
        <v>0.486</v>
      </c>
      <c r="H43" s="15" t="s">
        <v>83</v>
      </c>
      <c r="I43" s="15" t="s">
        <v>38</v>
      </c>
      <c r="J43" s="15" t="s">
        <v>658</v>
      </c>
      <c r="K43" s="16">
        <f>F43*1.06</f>
      </c>
      <c r="L43" s="17">
        <v>390.22</v>
      </c>
      <c r="M43" s="32">
        <v>369</v>
      </c>
      <c r="N43" s="32"/>
      <c r="O43" s="33">
        <f>IFERROR((N43-M43)*K43,0)</f>
      </c>
      <c r="P43" s="32">
        <v>237.76569037656904</v>
      </c>
      <c r="Q43" s="32">
        <v>369</v>
      </c>
      <c r="R43" s="32"/>
      <c r="S43" s="34">
        <f>IFERROR((P43/Q43)*R43,0)</f>
      </c>
      <c r="T43" s="34">
        <f>IFERROR((S43-P43)*((F43-G43)*0.8),0)</f>
      </c>
      <c r="U43" s="35">
        <f>ROUND(L43+O43-T43,2)</f>
      </c>
      <c r="V43" s="21">
        <v>0</v>
      </c>
      <c r="W43" s="22">
        <f>(U43-L43)*V43/100000</f>
      </c>
    </row>
    <row r="44" spans="1:23" x14ac:dyDescent="0.25">
      <c r="A44" s="7">
        <v>41</v>
      </c>
      <c r="B44" s="7">
        <f>D44&amp;H44</f>
      </c>
      <c r="C44" s="7" t="s">
        <v>589</v>
      </c>
      <c r="D44" s="7" t="s">
        <v>659</v>
      </c>
      <c r="E44" s="7" t="s">
        <v>435</v>
      </c>
      <c r="F44" s="7">
        <v>0.27</v>
      </c>
      <c r="G44" s="7">
        <v>0.259</v>
      </c>
      <c r="H44" s="7" t="s">
        <v>83</v>
      </c>
      <c r="I44" s="7" t="s">
        <v>38</v>
      </c>
      <c r="J44" s="7" t="s">
        <v>660</v>
      </c>
      <c r="K44" s="8">
        <f>F44*1.06</f>
      </c>
      <c r="L44" s="9">
        <v>195.49</v>
      </c>
      <c r="M44" s="28">
        <v>369</v>
      </c>
      <c r="N44" s="28"/>
      <c r="O44" s="29">
        <f>IFERROR((N44-M44)*K44,0)</f>
      </c>
      <c r="P44" s="28">
        <v>237.76569037656904</v>
      </c>
      <c r="Q44" s="28">
        <v>369</v>
      </c>
      <c r="R44" s="28"/>
      <c r="S44" s="30">
        <f>IFERROR((P44/Q44)*R44,0)</f>
      </c>
      <c r="T44" s="30">
        <f>IFERROR((S44-P44)*((F44-G44)*0.8),0)</f>
      </c>
      <c r="U44" s="31">
        <f>ROUND(L44+O44-T44,2)</f>
      </c>
      <c r="V44" s="13">
        <v>0</v>
      </c>
      <c r="W44" s="14">
        <f>(U44-L44)*V44/100000</f>
      </c>
    </row>
    <row r="45" spans="1:23" x14ac:dyDescent="0.25">
      <c r="A45" s="15">
        <v>42</v>
      </c>
      <c r="B45" s="15">
        <f>D45&amp;H45</f>
      </c>
      <c r="C45" s="15" t="s">
        <v>589</v>
      </c>
      <c r="D45" s="15" t="s">
        <v>661</v>
      </c>
      <c r="E45" s="15" t="s">
        <v>662</v>
      </c>
      <c r="F45" s="15">
        <v>0.27</v>
      </c>
      <c r="G45" s="15">
        <v>0.259</v>
      </c>
      <c r="H45" s="15" t="s">
        <v>83</v>
      </c>
      <c r="I45" s="15" t="s">
        <v>38</v>
      </c>
      <c r="J45" s="15" t="s">
        <v>663</v>
      </c>
      <c r="K45" s="16">
        <f>F45*1.06</f>
      </c>
      <c r="L45" s="17">
        <v>195.49</v>
      </c>
      <c r="M45" s="32">
        <v>369</v>
      </c>
      <c r="N45" s="32"/>
      <c r="O45" s="33">
        <f>IFERROR((N45-M45)*K45,0)</f>
      </c>
      <c r="P45" s="32">
        <v>237.76569037656904</v>
      </c>
      <c r="Q45" s="32">
        <v>369</v>
      </c>
      <c r="R45" s="32"/>
      <c r="S45" s="34">
        <f>IFERROR((P45/Q45)*R45,0)</f>
      </c>
      <c r="T45" s="34">
        <f>IFERROR((S45-P45)*((F45-G45)*0.8),0)</f>
      </c>
      <c r="U45" s="35">
        <f>ROUND(L45+O45-T45,2)</f>
      </c>
      <c r="V45" s="21">
        <v>0</v>
      </c>
      <c r="W45" s="22">
        <f>(U45-L45)*V45/100000</f>
      </c>
    </row>
    <row r="46" spans="1:23" x14ac:dyDescent="0.25">
      <c r="A46" s="7">
        <v>43</v>
      </c>
      <c r="B46" s="7">
        <f>D46&amp;H46</f>
      </c>
      <c r="C46" s="7" t="s">
        <v>589</v>
      </c>
      <c r="D46" s="7" t="s">
        <v>664</v>
      </c>
      <c r="E46" s="7" t="s">
        <v>665</v>
      </c>
      <c r="F46" s="7">
        <v>0.27</v>
      </c>
      <c r="G46" s="7">
        <v>0.259</v>
      </c>
      <c r="H46" s="7" t="s">
        <v>83</v>
      </c>
      <c r="I46" s="7" t="s">
        <v>38</v>
      </c>
      <c r="J46" s="7" t="s">
        <v>666</v>
      </c>
      <c r="K46" s="8">
        <f>F46*1.06</f>
      </c>
      <c r="L46" s="9">
        <v>195.49</v>
      </c>
      <c r="M46" s="28">
        <v>369</v>
      </c>
      <c r="N46" s="28"/>
      <c r="O46" s="29">
        <f>IFERROR((N46-M46)*K46,0)</f>
      </c>
      <c r="P46" s="28">
        <v>237.76569037656904</v>
      </c>
      <c r="Q46" s="28">
        <v>369</v>
      </c>
      <c r="R46" s="28"/>
      <c r="S46" s="30">
        <f>IFERROR((P46/Q46)*R46,0)</f>
      </c>
      <c r="T46" s="30">
        <f>IFERROR((S46-P46)*((F46-G46)*0.8),0)</f>
      </c>
      <c r="U46" s="31">
        <f>ROUND(L46+O46-T46,2)</f>
      </c>
      <c r="V46" s="13">
        <v>0</v>
      </c>
      <c r="W46" s="14">
        <f>(U46-L46)*V46/100000</f>
      </c>
    </row>
    <row r="47" spans="1:23" x14ac:dyDescent="0.25">
      <c r="A47" s="15">
        <v>44</v>
      </c>
      <c r="B47" s="15">
        <f>D47&amp;H47</f>
      </c>
      <c r="C47" s="15" t="s">
        <v>589</v>
      </c>
      <c r="D47" s="15" t="s">
        <v>667</v>
      </c>
      <c r="E47" s="15" t="s">
        <v>435</v>
      </c>
      <c r="F47" s="15">
        <v>0.286</v>
      </c>
      <c r="G47" s="15">
        <v>0.286</v>
      </c>
      <c r="H47" s="15" t="s">
        <v>83</v>
      </c>
      <c r="I47" s="15" t="s">
        <v>38</v>
      </c>
      <c r="J47" s="15" t="s">
        <v>668</v>
      </c>
      <c r="K47" s="16">
        <f>F47*1.06</f>
      </c>
      <c r="L47" s="17">
        <v>157.11</v>
      </c>
      <c r="M47" s="32">
        <v>369</v>
      </c>
      <c r="N47" s="32"/>
      <c r="O47" s="33">
        <f>IFERROR((N47-M47)*K47,0)</f>
      </c>
      <c r="P47" s="37" t="s">
        <v>85</v>
      </c>
      <c r="Q47" s="37" t="s">
        <v>85</v>
      </c>
      <c r="R47" s="37" t="s">
        <v>85</v>
      </c>
      <c r="S47" s="37" t="s">
        <v>85</v>
      </c>
      <c r="T47" s="34">
        <v>0</v>
      </c>
      <c r="U47" s="35">
        <f>ROUND(L47+O47-T47,2)</f>
      </c>
      <c r="V47" s="21">
        <v>0</v>
      </c>
      <c r="W47" s="22">
        <f>(U47-L47)*V47/100000</f>
      </c>
    </row>
    <row r="48" spans="1:23" x14ac:dyDescent="0.25">
      <c r="A48" s="7">
        <v>45</v>
      </c>
      <c r="B48" s="7">
        <f>D48&amp;H48</f>
      </c>
      <c r="C48" s="7" t="s">
        <v>589</v>
      </c>
      <c r="D48" s="7" t="s">
        <v>669</v>
      </c>
      <c r="E48" s="7" t="s">
        <v>670</v>
      </c>
      <c r="F48" s="7">
        <v>0.27</v>
      </c>
      <c r="G48" s="7">
        <v>0.268</v>
      </c>
      <c r="H48" s="7" t="s">
        <v>83</v>
      </c>
      <c r="I48" s="7" t="s">
        <v>38</v>
      </c>
      <c r="J48" s="7" t="s">
        <v>671</v>
      </c>
      <c r="K48" s="8">
        <f>F48*1.06</f>
      </c>
      <c r="L48" s="9">
        <v>192.26</v>
      </c>
      <c r="M48" s="28">
        <v>369</v>
      </c>
      <c r="N48" s="28"/>
      <c r="O48" s="29">
        <f>IFERROR((N48-M48)*K48,0)</f>
      </c>
      <c r="P48" s="28">
        <v>237.76569037656904</v>
      </c>
      <c r="Q48" s="28">
        <v>369</v>
      </c>
      <c r="R48" s="28"/>
      <c r="S48" s="30">
        <f>IFERROR((P48/Q48)*R48,0)</f>
      </c>
      <c r="T48" s="30">
        <f>IFERROR((S48-P48)*((F48-G48)*0.8),0)</f>
      </c>
      <c r="U48" s="31">
        <f>ROUND(L48+O48-T48,2)</f>
      </c>
      <c r="V48" s="13">
        <v>0</v>
      </c>
      <c r="W48" s="14">
        <f>(U48-L48)*V48/100000</f>
      </c>
    </row>
    <row r="49" spans="1:23" x14ac:dyDescent="0.25">
      <c r="A49" s="15">
        <v>46</v>
      </c>
      <c r="B49" s="15">
        <f>D49&amp;H49</f>
      </c>
      <c r="C49" s="15" t="s">
        <v>589</v>
      </c>
      <c r="D49" s="15" t="s">
        <v>672</v>
      </c>
      <c r="E49" s="15" t="s">
        <v>673</v>
      </c>
      <c r="F49" s="15">
        <v>0.675</v>
      </c>
      <c r="G49" s="15">
        <v>0.675</v>
      </c>
      <c r="H49" s="15" t="s">
        <v>83</v>
      </c>
      <c r="I49" s="15" t="s">
        <v>38</v>
      </c>
      <c r="J49" s="15" t="s">
        <v>674</v>
      </c>
      <c r="K49" s="16">
        <f>F49*1.06</f>
      </c>
      <c r="L49" s="17">
        <v>352.88</v>
      </c>
      <c r="M49" s="32">
        <v>369</v>
      </c>
      <c r="N49" s="32"/>
      <c r="O49" s="33">
        <f>IFERROR((N49-M49)*K49,0)</f>
      </c>
      <c r="P49" s="37" t="s">
        <v>85</v>
      </c>
      <c r="Q49" s="37" t="s">
        <v>85</v>
      </c>
      <c r="R49" s="37" t="s">
        <v>85</v>
      </c>
      <c r="S49" s="37" t="s">
        <v>85</v>
      </c>
      <c r="T49" s="34">
        <v>0</v>
      </c>
      <c r="U49" s="35">
        <f>ROUND(L49+O49-T49,2)</f>
      </c>
      <c r="V49" s="21">
        <v>0</v>
      </c>
      <c r="W49" s="22">
        <f>(U49-L49)*V49/100000</f>
      </c>
    </row>
    <row r="50" spans="1:23" x14ac:dyDescent="0.25">
      <c r="A50" s="7">
        <v>47</v>
      </c>
      <c r="B50" s="7">
        <f>D50&amp;H50</f>
      </c>
      <c r="C50" s="7" t="s">
        <v>589</v>
      </c>
      <c r="D50" s="7" t="s">
        <v>604</v>
      </c>
      <c r="E50" s="7" t="s">
        <v>592</v>
      </c>
      <c r="F50" s="7">
        <v>1.047</v>
      </c>
      <c r="G50" s="7">
        <v>0.943</v>
      </c>
      <c r="H50" s="7" t="s">
        <v>301</v>
      </c>
      <c r="I50" s="7" t="s">
        <v>38</v>
      </c>
      <c r="J50" s="7" t="s">
        <v>675</v>
      </c>
      <c r="K50" s="8">
        <f>F50*1.06</f>
      </c>
      <c r="L50" s="9">
        <v>599.52</v>
      </c>
      <c r="M50" s="28">
        <v>369</v>
      </c>
      <c r="N50" s="28"/>
      <c r="O50" s="29">
        <f>IFERROR((N50-M50)*K50,0)</f>
      </c>
      <c r="P50" s="28">
        <v>237.76569037656904</v>
      </c>
      <c r="Q50" s="28">
        <v>369</v>
      </c>
      <c r="R50" s="28"/>
      <c r="S50" s="30">
        <f>IFERROR((P50/Q50)*R50,0)</f>
      </c>
      <c r="T50" s="30">
        <f>IFERROR((S50-P50)*((F50-G50)*0.8),0)</f>
      </c>
      <c r="U50" s="31">
        <f>ROUND(L50+O50-T50,2)</f>
      </c>
      <c r="V50" s="13">
        <v>0</v>
      </c>
      <c r="W50" s="14">
        <f>(U50-L50)*V50/100000</f>
      </c>
    </row>
    <row r="51" spans="1:23" x14ac:dyDescent="0.25">
      <c r="A51" s="15">
        <v>48</v>
      </c>
      <c r="B51" s="15">
        <f>D51&amp;H51</f>
      </c>
      <c r="C51" s="15" t="s">
        <v>589</v>
      </c>
      <c r="D51" s="15" t="s">
        <v>591</v>
      </c>
      <c r="E51" s="15" t="s">
        <v>592</v>
      </c>
      <c r="F51" s="15">
        <v>1.047</v>
      </c>
      <c r="G51" s="15">
        <v>0.923</v>
      </c>
      <c r="H51" s="15" t="s">
        <v>301</v>
      </c>
      <c r="I51" s="15" t="s">
        <v>38</v>
      </c>
      <c r="J51" s="15" t="s">
        <v>676</v>
      </c>
      <c r="K51" s="16">
        <f>F51*1.06</f>
      </c>
      <c r="L51" s="17">
        <v>596.7</v>
      </c>
      <c r="M51" s="32">
        <v>369</v>
      </c>
      <c r="N51" s="32"/>
      <c r="O51" s="33">
        <f>IFERROR((N51-M51)*K51,0)</f>
      </c>
      <c r="P51" s="32">
        <v>237.76569037656904</v>
      </c>
      <c r="Q51" s="32">
        <v>369</v>
      </c>
      <c r="R51" s="32"/>
      <c r="S51" s="34">
        <f>IFERROR((P51/Q51)*R51,0)</f>
      </c>
      <c r="T51" s="34">
        <f>IFERROR((S51-P51)*((F51-G51)*0.8),0)</f>
      </c>
      <c r="U51" s="35">
        <f>ROUND(L51+O51-T51,2)</f>
      </c>
      <c r="V51" s="21">
        <v>0</v>
      </c>
      <c r="W51" s="22">
        <f>(U51-L51)*V51/100000</f>
      </c>
    </row>
    <row r="52" spans="1:23" x14ac:dyDescent="0.25">
      <c r="A52" s="7">
        <v>49</v>
      </c>
      <c r="B52" s="7">
        <f>D52&amp;H52</f>
      </c>
      <c r="C52" s="7" t="s">
        <v>589</v>
      </c>
      <c r="D52" s="7" t="s">
        <v>617</v>
      </c>
      <c r="E52" s="7" t="s">
        <v>618</v>
      </c>
      <c r="F52" s="7">
        <v>0.731</v>
      </c>
      <c r="G52" s="7">
        <v>0.61</v>
      </c>
      <c r="H52" s="7" t="s">
        <v>585</v>
      </c>
      <c r="I52" s="7" t="s">
        <v>38</v>
      </c>
      <c r="J52" s="7" t="s">
        <v>677</v>
      </c>
      <c r="K52" s="8">
        <f>F52*1.06</f>
      </c>
      <c r="L52" s="9">
        <v>387.01</v>
      </c>
      <c r="M52" s="28">
        <v>369</v>
      </c>
      <c r="N52" s="28"/>
      <c r="O52" s="29">
        <f>IFERROR((N52-M52)*K52,0)</f>
      </c>
      <c r="P52" s="28">
        <v>237.76569037656904</v>
      </c>
      <c r="Q52" s="28">
        <v>369</v>
      </c>
      <c r="R52" s="28"/>
      <c r="S52" s="30">
        <f>IFERROR((P52/Q52)*R52,0)</f>
      </c>
      <c r="T52" s="30">
        <f>IFERROR((S52-P52)*((F52-G52)*0.8),0)</f>
      </c>
      <c r="U52" s="31">
        <f>ROUND(L52+O52-T52,2)</f>
      </c>
      <c r="V52" s="13">
        <v>0</v>
      </c>
      <c r="W52" s="14">
        <f>(U52-L52)*V52/100000</f>
      </c>
    </row>
    <row r="53" spans="1:23" x14ac:dyDescent="0.25">
      <c r="A53" s="25" t="s">
        <v>122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6">
        <f>SUM(V4:V52)</f>
      </c>
      <c r="W53" s="27">
        <f>SUM(W4:W52)</f>
      </c>
    </row>
  </sheetData>
  <autoFilter ref="A3:W52"/>
  <mergeCells count="3">
    <mergeCell ref="A1:W1"/>
    <mergeCell ref="A2:D2"/>
    <mergeCell ref="A53:U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17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679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W17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680</v>
      </c>
      <c r="D4" s="7" t="s">
        <v>620</v>
      </c>
      <c r="E4" s="7" t="s">
        <v>681</v>
      </c>
      <c r="F4" s="7">
        <v>1.363</v>
      </c>
      <c r="G4" s="7">
        <v>1.363</v>
      </c>
      <c r="H4" s="7" t="s">
        <v>154</v>
      </c>
      <c r="I4" s="7" t="s">
        <v>46</v>
      </c>
      <c r="J4" s="7" t="s">
        <v>682</v>
      </c>
      <c r="K4" s="8">
        <f>F4*1.06</f>
      </c>
      <c r="L4" s="9">
        <v>570.63</v>
      </c>
      <c r="M4" s="10">
        <v>250</v>
      </c>
      <c r="N4" s="10">
        <v>381</v>
      </c>
      <c r="O4" s="11">
        <f>IFERROR((N4-M4)*K4,0)</f>
      </c>
      <c r="P4" s="23" t="s">
        <v>85</v>
      </c>
      <c r="Q4" s="23" t="s">
        <v>85</v>
      </c>
      <c r="R4" s="23" t="s">
        <v>85</v>
      </c>
      <c r="S4" s="23" t="s">
        <v>85</v>
      </c>
      <c r="T4" s="8">
        <v>0</v>
      </c>
      <c r="U4" s="12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680</v>
      </c>
      <c r="D5" s="15" t="s">
        <v>683</v>
      </c>
      <c r="E5" s="15" t="s">
        <v>44</v>
      </c>
      <c r="F5" s="15">
        <v>1.357</v>
      </c>
      <c r="G5" s="15">
        <v>1.357</v>
      </c>
      <c r="H5" s="15" t="s">
        <v>154</v>
      </c>
      <c r="I5" s="15" t="s">
        <v>46</v>
      </c>
      <c r="J5" s="15" t="s">
        <v>684</v>
      </c>
      <c r="K5" s="16">
        <f>F5*1.06</f>
      </c>
      <c r="L5" s="17">
        <v>574.35</v>
      </c>
      <c r="M5" s="18">
        <v>250</v>
      </c>
      <c r="N5" s="18">
        <v>381</v>
      </c>
      <c r="O5" s="19">
        <f>IFERROR((N5-M5)*K5,0)</f>
      </c>
      <c r="P5" s="24" t="s">
        <v>85</v>
      </c>
      <c r="Q5" s="24" t="s">
        <v>85</v>
      </c>
      <c r="R5" s="24" t="s">
        <v>85</v>
      </c>
      <c r="S5" s="24" t="s">
        <v>85</v>
      </c>
      <c r="T5" s="16">
        <v>0</v>
      </c>
      <c r="U5" s="20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680</v>
      </c>
      <c r="D6" s="7" t="s">
        <v>685</v>
      </c>
      <c r="E6" s="7" t="s">
        <v>44</v>
      </c>
      <c r="F6" s="7">
        <v>1.249</v>
      </c>
      <c r="G6" s="7">
        <v>1.249</v>
      </c>
      <c r="H6" s="7" t="s">
        <v>154</v>
      </c>
      <c r="I6" s="7" t="s">
        <v>46</v>
      </c>
      <c r="J6" s="7" t="s">
        <v>686</v>
      </c>
      <c r="K6" s="8">
        <f>F6*1.06</f>
      </c>
      <c r="L6" s="9">
        <v>563.79</v>
      </c>
      <c r="M6" s="10">
        <v>250</v>
      </c>
      <c r="N6" s="10">
        <v>381</v>
      </c>
      <c r="O6" s="11">
        <f>IFERROR((N6-M6)*K6,0)</f>
      </c>
      <c r="P6" s="23" t="s">
        <v>85</v>
      </c>
      <c r="Q6" s="23" t="s">
        <v>85</v>
      </c>
      <c r="R6" s="23" t="s">
        <v>85</v>
      </c>
      <c r="S6" s="23" t="s">
        <v>85</v>
      </c>
      <c r="T6" s="8">
        <v>0</v>
      </c>
      <c r="U6" s="12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680</v>
      </c>
      <c r="D7" s="15" t="s">
        <v>687</v>
      </c>
      <c r="E7" s="15" t="s">
        <v>688</v>
      </c>
      <c r="F7" s="15">
        <v>0.353</v>
      </c>
      <c r="G7" s="15">
        <v>0.306</v>
      </c>
      <c r="H7" s="15" t="s">
        <v>83</v>
      </c>
      <c r="I7" s="15" t="s">
        <v>71</v>
      </c>
      <c r="J7" s="15" t="s">
        <v>689</v>
      </c>
      <c r="K7" s="16">
        <f>F7*1.06</f>
      </c>
      <c r="L7" s="17">
        <v>197.8</v>
      </c>
      <c r="M7" s="18">
        <v>231</v>
      </c>
      <c r="N7" s="18">
        <v>377</v>
      </c>
      <c r="O7" s="19">
        <f>IFERROR((N7-M7)*K7,0)</f>
      </c>
      <c r="P7" s="18">
        <v>154</v>
      </c>
      <c r="Q7" s="18">
        <v>239</v>
      </c>
      <c r="R7" s="18">
        <v>369</v>
      </c>
      <c r="S7" s="16">
        <f>IFERROR((P7/Q7)*R7,0)</f>
      </c>
      <c r="T7" s="16">
        <f>IFERROR((S7-P7)*((F7-G7)*0.8),0)</f>
      </c>
      <c r="U7" s="20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680</v>
      </c>
      <c r="D8" s="7" t="s">
        <v>690</v>
      </c>
      <c r="E8" s="7" t="s">
        <v>688</v>
      </c>
      <c r="F8" s="7">
        <v>0.384</v>
      </c>
      <c r="G8" s="7">
        <v>0.346</v>
      </c>
      <c r="H8" s="7" t="s">
        <v>83</v>
      </c>
      <c r="I8" s="7" t="s">
        <v>71</v>
      </c>
      <c r="J8" s="7" t="s">
        <v>691</v>
      </c>
      <c r="K8" s="8">
        <f>F8*1.06</f>
      </c>
      <c r="L8" s="9">
        <v>220.1</v>
      </c>
      <c r="M8" s="10">
        <v>231</v>
      </c>
      <c r="N8" s="10">
        <v>377</v>
      </c>
      <c r="O8" s="11">
        <f>IFERROR((N8-M8)*K8,0)</f>
      </c>
      <c r="P8" s="10">
        <v>154</v>
      </c>
      <c r="Q8" s="10">
        <v>239</v>
      </c>
      <c r="R8" s="10">
        <v>369</v>
      </c>
      <c r="S8" s="8">
        <f>IFERROR((P8/Q8)*R8,0)</f>
      </c>
      <c r="T8" s="8">
        <f>IFERROR((S8-P8)*((F8-G8)*0.8),0)</f>
      </c>
      <c r="U8" s="12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680</v>
      </c>
      <c r="D9" s="15" t="s">
        <v>692</v>
      </c>
      <c r="E9" s="15" t="s">
        <v>693</v>
      </c>
      <c r="F9" s="15">
        <v>0.041</v>
      </c>
      <c r="G9" s="15">
        <v>0.041</v>
      </c>
      <c r="H9" s="15" t="s">
        <v>83</v>
      </c>
      <c r="I9" s="15" t="s">
        <v>71</v>
      </c>
      <c r="J9" s="15" t="s">
        <v>694</v>
      </c>
      <c r="K9" s="16">
        <f>F9*1.06</f>
      </c>
      <c r="L9" s="17">
        <v>41.03</v>
      </c>
      <c r="M9" s="18">
        <v>231</v>
      </c>
      <c r="N9" s="18">
        <v>377</v>
      </c>
      <c r="O9" s="19">
        <f>IFERROR((N9-M9)*K9,0)</f>
      </c>
      <c r="P9" s="24" t="s">
        <v>85</v>
      </c>
      <c r="Q9" s="24" t="s">
        <v>85</v>
      </c>
      <c r="R9" s="24" t="s">
        <v>85</v>
      </c>
      <c r="S9" s="24" t="s">
        <v>85</v>
      </c>
      <c r="T9" s="16">
        <v>0</v>
      </c>
      <c r="U9" s="20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680</v>
      </c>
      <c r="D10" s="7" t="s">
        <v>695</v>
      </c>
      <c r="E10" s="7" t="s">
        <v>541</v>
      </c>
      <c r="F10" s="7">
        <v>0.584</v>
      </c>
      <c r="G10" s="7">
        <v>0.55</v>
      </c>
      <c r="H10" s="7" t="s">
        <v>83</v>
      </c>
      <c r="I10" s="7" t="s">
        <v>141</v>
      </c>
      <c r="J10" s="7" t="s">
        <v>696</v>
      </c>
      <c r="K10" s="8">
        <f>F10*1.06</f>
      </c>
      <c r="L10" s="9">
        <v>320.79</v>
      </c>
      <c r="M10" s="10">
        <v>241</v>
      </c>
      <c r="N10" s="10">
        <v>379</v>
      </c>
      <c r="O10" s="11">
        <f>IFERROR((N10-M10)*K10,0)</f>
      </c>
      <c r="P10" s="10">
        <v>154</v>
      </c>
      <c r="Q10" s="10">
        <v>239</v>
      </c>
      <c r="R10" s="10">
        <v>369</v>
      </c>
      <c r="S10" s="8">
        <f>IFERROR((P10/Q10)*R10,0)</f>
      </c>
      <c r="T10" s="8">
        <f>IFERROR((S10-P10)*((F10-G10)*0.8),0)</f>
      </c>
      <c r="U10" s="12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680</v>
      </c>
      <c r="D11" s="15" t="s">
        <v>697</v>
      </c>
      <c r="E11" s="15" t="s">
        <v>187</v>
      </c>
      <c r="F11" s="15">
        <v>0.384</v>
      </c>
      <c r="G11" s="15">
        <v>0.346</v>
      </c>
      <c r="H11" s="15" t="s">
        <v>83</v>
      </c>
      <c r="I11" s="15" t="s">
        <v>71</v>
      </c>
      <c r="J11" s="15" t="s">
        <v>698</v>
      </c>
      <c r="K11" s="16">
        <f>F11*1.06</f>
      </c>
      <c r="L11" s="17">
        <v>218.2</v>
      </c>
      <c r="M11" s="18">
        <v>231</v>
      </c>
      <c r="N11" s="18">
        <v>377</v>
      </c>
      <c r="O11" s="19">
        <f>IFERROR((N11-M11)*K11,0)</f>
      </c>
      <c r="P11" s="18">
        <v>154</v>
      </c>
      <c r="Q11" s="18">
        <v>239</v>
      </c>
      <c r="R11" s="18">
        <v>369</v>
      </c>
      <c r="S11" s="16">
        <f>IFERROR((P11/Q11)*R11,0)</f>
      </c>
      <c r="T11" s="16">
        <f>IFERROR((S11-P11)*((F11-G11)*0.8),0)</f>
      </c>
      <c r="U11" s="20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680</v>
      </c>
      <c r="D12" s="7" t="s">
        <v>699</v>
      </c>
      <c r="E12" s="7" t="s">
        <v>688</v>
      </c>
      <c r="F12" s="7">
        <v>0.353</v>
      </c>
      <c r="G12" s="7">
        <v>0.316</v>
      </c>
      <c r="H12" s="7" t="s">
        <v>83</v>
      </c>
      <c r="I12" s="7" t="s">
        <v>71</v>
      </c>
      <c r="J12" s="7" t="s">
        <v>700</v>
      </c>
      <c r="K12" s="8">
        <f>F12*1.06</f>
      </c>
      <c r="L12" s="9">
        <v>196.27</v>
      </c>
      <c r="M12" s="10">
        <v>231</v>
      </c>
      <c r="N12" s="10">
        <v>377</v>
      </c>
      <c r="O12" s="11">
        <f>IFERROR((N12-M12)*K12,0)</f>
      </c>
      <c r="P12" s="10">
        <v>154</v>
      </c>
      <c r="Q12" s="10">
        <v>239</v>
      </c>
      <c r="R12" s="10">
        <v>369</v>
      </c>
      <c r="S12" s="8">
        <f>IFERROR((P12/Q12)*R12,0)</f>
      </c>
      <c r="T12" s="8">
        <f>IFERROR((S12-P12)*((F12-G12)*0.8),0)</f>
      </c>
      <c r="U12" s="12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680</v>
      </c>
      <c r="D13" s="15" t="s">
        <v>701</v>
      </c>
      <c r="E13" s="15" t="s">
        <v>541</v>
      </c>
      <c r="F13" s="15">
        <v>0.384</v>
      </c>
      <c r="G13" s="15">
        <v>0.346</v>
      </c>
      <c r="H13" s="15" t="s">
        <v>83</v>
      </c>
      <c r="I13" s="15" t="s">
        <v>71</v>
      </c>
      <c r="J13" s="15" t="s">
        <v>702</v>
      </c>
      <c r="K13" s="16">
        <f>F13*1.06</f>
      </c>
      <c r="L13" s="17">
        <v>218.2</v>
      </c>
      <c r="M13" s="18">
        <v>231</v>
      </c>
      <c r="N13" s="18">
        <v>377</v>
      </c>
      <c r="O13" s="19">
        <f>IFERROR((N13-M13)*K13,0)</f>
      </c>
      <c r="P13" s="18">
        <v>154</v>
      </c>
      <c r="Q13" s="18">
        <v>239</v>
      </c>
      <c r="R13" s="18">
        <v>369</v>
      </c>
      <c r="S13" s="16">
        <f>IFERROR((P13/Q13)*R13,0)</f>
      </c>
      <c r="T13" s="16">
        <f>IFERROR((S13-P13)*((F13-G13)*0.8),0)</f>
      </c>
      <c r="U13" s="20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680</v>
      </c>
      <c r="D14" s="7" t="s">
        <v>703</v>
      </c>
      <c r="E14" s="7" t="s">
        <v>187</v>
      </c>
      <c r="F14" s="7">
        <v>0.342</v>
      </c>
      <c r="G14" s="7">
        <v>0.306</v>
      </c>
      <c r="H14" s="7" t="s">
        <v>83</v>
      </c>
      <c r="I14" s="7" t="s">
        <v>71</v>
      </c>
      <c r="J14" s="7" t="s">
        <v>704</v>
      </c>
      <c r="K14" s="8">
        <f>F14*1.06</f>
      </c>
      <c r="L14" s="9">
        <v>222.56</v>
      </c>
      <c r="M14" s="10">
        <v>231</v>
      </c>
      <c r="N14" s="10">
        <v>377</v>
      </c>
      <c r="O14" s="11">
        <f>IFERROR((N14-M14)*K14,0)</f>
      </c>
      <c r="P14" s="10">
        <v>154</v>
      </c>
      <c r="Q14" s="10">
        <v>239</v>
      </c>
      <c r="R14" s="10">
        <v>369</v>
      </c>
      <c r="S14" s="8">
        <f>IFERROR((P14/Q14)*R14,0)</f>
      </c>
      <c r="T14" s="8">
        <f>IFERROR((S14-P14)*((F14-G14)*0.8),0)</f>
      </c>
      <c r="U14" s="12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680</v>
      </c>
      <c r="D15" s="15" t="s">
        <v>705</v>
      </c>
      <c r="E15" s="15" t="s">
        <v>44</v>
      </c>
      <c r="F15" s="15">
        <v>0.595</v>
      </c>
      <c r="G15" s="15">
        <v>0.561</v>
      </c>
      <c r="H15" s="15" t="s">
        <v>83</v>
      </c>
      <c r="I15" s="15" t="s">
        <v>141</v>
      </c>
      <c r="J15" s="15" t="s">
        <v>706</v>
      </c>
      <c r="K15" s="16">
        <f>F15*1.06</f>
      </c>
      <c r="L15" s="17">
        <v>326.45</v>
      </c>
      <c r="M15" s="18">
        <v>241</v>
      </c>
      <c r="N15" s="18">
        <v>379</v>
      </c>
      <c r="O15" s="19">
        <f>IFERROR((N15-M15)*K15,0)</f>
      </c>
      <c r="P15" s="18">
        <v>154</v>
      </c>
      <c r="Q15" s="18">
        <v>239</v>
      </c>
      <c r="R15" s="18">
        <v>369</v>
      </c>
      <c r="S15" s="16">
        <f>IFERROR((P15/Q15)*R15,0)</f>
      </c>
      <c r="T15" s="16">
        <f>IFERROR((S15-P15)*((F15-G15)*0.8),0)</f>
      </c>
      <c r="U15" s="20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680</v>
      </c>
      <c r="D16" s="7" t="s">
        <v>707</v>
      </c>
      <c r="E16" s="7" t="s">
        <v>44</v>
      </c>
      <c r="F16" s="7">
        <v>0.354</v>
      </c>
      <c r="G16" s="7">
        <v>0.31</v>
      </c>
      <c r="H16" s="7" t="s">
        <v>83</v>
      </c>
      <c r="I16" s="7" t="s">
        <v>71</v>
      </c>
      <c r="J16" s="7" t="s">
        <v>708</v>
      </c>
      <c r="K16" s="8">
        <f>F16*1.06</f>
      </c>
      <c r="L16" s="9">
        <v>196.16</v>
      </c>
      <c r="M16" s="10">
        <v>231</v>
      </c>
      <c r="N16" s="10">
        <v>377</v>
      </c>
      <c r="O16" s="11">
        <f>IFERROR((N16-M16)*K16,0)</f>
      </c>
      <c r="P16" s="10">
        <v>154</v>
      </c>
      <c r="Q16" s="10">
        <v>239</v>
      </c>
      <c r="R16" s="10">
        <v>369</v>
      </c>
      <c r="S16" s="8">
        <f>IFERROR((P16/Q16)*R16,0)</f>
      </c>
      <c r="T16" s="8">
        <f>IFERROR((S16-P16)*((F16-G16)*0.8),0)</f>
      </c>
      <c r="U16" s="12">
        <f>ROUND(L16+O16-T16,2)</f>
      </c>
      <c r="V16" s="13">
        <v>0</v>
      </c>
      <c r="W16" s="14">
        <f>(U16-L16)*V16/100000</f>
      </c>
    </row>
    <row r="17" spans="1:23" x14ac:dyDescent="0.25">
      <c r="A17" s="25" t="s">
        <v>122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>
        <f>SUM(V4:V16)</f>
      </c>
      <c r="W17" s="27">
        <f>SUM(W4:W16)</f>
      </c>
    </row>
  </sheetData>
  <autoFilter ref="A3:W16"/>
  <mergeCells count="3">
    <mergeCell ref="A1:W1"/>
    <mergeCell ref="A2:D2"/>
    <mergeCell ref="A17:U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W17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14" customWidth="1"/>
    <col min="5" max="5" width="28" customWidth="1"/>
    <col min="8" max="8" width="7" customWidth="1"/>
    <col min="9" max="9" width="10" customWidth="1"/>
    <col min="10" max="10" width="14" customWidth="1"/>
    <col min="11" max="11" width="10" customWidth="1"/>
    <col min="12" max="12" width="12" customWidth="1"/>
    <col min="13" max="14" width="10" customWidth="1"/>
    <col min="15" max="15" width="12" customWidth="1"/>
    <col min="16" max="20" width="10" customWidth="1"/>
    <col min="21" max="21" width="11" customWidth="1"/>
    <col min="22" max="22" width="13" customWidth="1"/>
    <col min="23" max="23" width="10" customWidth="1"/>
    <col min="24" max="24" width="12" customWidth="1"/>
  </cols>
  <sheetData>
    <row r="1" ht="26" customHeight="1" spans="1:23" x14ac:dyDescent="0.25">
      <c r="A1" s="3" t="s">
        <v>709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5" x14ac:dyDescent="0.25">
      <c r="A2" s="4" t="s">
        <v>10</v>
      </c>
      <c r="B2" s="4"/>
      <c r="C2" s="4"/>
      <c r="D2" s="4"/>
      <c r="E2" s="5">
        <f>W17</f>
      </c>
    </row>
    <row r="3" ht="30" customHeight="1" spans="1:23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124</v>
      </c>
      <c r="M3" s="6" t="s">
        <v>24</v>
      </c>
      <c r="N3" s="6" t="s">
        <v>125</v>
      </c>
      <c r="O3" s="6" t="s">
        <v>25</v>
      </c>
      <c r="P3" s="6" t="s">
        <v>126</v>
      </c>
      <c r="Q3" s="6" t="s">
        <v>28</v>
      </c>
      <c r="R3" s="6" t="s">
        <v>127</v>
      </c>
      <c r="S3" s="6" t="s">
        <v>29</v>
      </c>
      <c r="T3" s="6" t="s">
        <v>30</v>
      </c>
      <c r="U3" s="6" t="s">
        <v>128</v>
      </c>
      <c r="V3" s="6" t="s">
        <v>32</v>
      </c>
      <c r="W3" s="6" t="s">
        <v>33</v>
      </c>
    </row>
    <row r="4" spans="1:23" x14ac:dyDescent="0.25">
      <c r="A4" s="7">
        <v>1</v>
      </c>
      <c r="B4" s="7">
        <f>D4&amp;H4</f>
      </c>
      <c r="C4" s="7" t="s">
        <v>680</v>
      </c>
      <c r="D4" s="7" t="s">
        <v>620</v>
      </c>
      <c r="E4" s="7" t="s">
        <v>681</v>
      </c>
      <c r="F4" s="7">
        <v>1.363</v>
      </c>
      <c r="G4" s="7">
        <v>1.363</v>
      </c>
      <c r="H4" s="7" t="s">
        <v>154</v>
      </c>
      <c r="I4" s="7" t="s">
        <v>46</v>
      </c>
      <c r="J4" s="7" t="s">
        <v>682</v>
      </c>
      <c r="K4" s="8">
        <f>F4*1.06</f>
      </c>
      <c r="L4" s="9">
        <v>759.9</v>
      </c>
      <c r="M4" s="28">
        <v>381</v>
      </c>
      <c r="N4" s="28"/>
      <c r="O4" s="29">
        <f>IFERROR((N4-M4)*K4,0)</f>
      </c>
      <c r="P4" s="36" t="s">
        <v>85</v>
      </c>
      <c r="Q4" s="36" t="s">
        <v>85</v>
      </c>
      <c r="R4" s="36" t="s">
        <v>85</v>
      </c>
      <c r="S4" s="36" t="s">
        <v>85</v>
      </c>
      <c r="T4" s="30">
        <v>0</v>
      </c>
      <c r="U4" s="31">
        <f>ROUND(L4+O4-T4,2)</f>
      </c>
      <c r="V4" s="13">
        <v>0</v>
      </c>
      <c r="W4" s="14">
        <f>(U4-L4)*V4/100000</f>
      </c>
    </row>
    <row r="5" spans="1:23" x14ac:dyDescent="0.25">
      <c r="A5" s="15">
        <v>2</v>
      </c>
      <c r="B5" s="15">
        <f>D5&amp;H5</f>
      </c>
      <c r="C5" s="15" t="s">
        <v>680</v>
      </c>
      <c r="D5" s="15" t="s">
        <v>683</v>
      </c>
      <c r="E5" s="15" t="s">
        <v>44</v>
      </c>
      <c r="F5" s="15">
        <v>1.357</v>
      </c>
      <c r="G5" s="15">
        <v>1.357</v>
      </c>
      <c r="H5" s="15" t="s">
        <v>154</v>
      </c>
      <c r="I5" s="15" t="s">
        <v>46</v>
      </c>
      <c r="J5" s="15" t="s">
        <v>684</v>
      </c>
      <c r="K5" s="16">
        <f>F5*1.06</f>
      </c>
      <c r="L5" s="17">
        <v>762.78</v>
      </c>
      <c r="M5" s="32">
        <v>381</v>
      </c>
      <c r="N5" s="32"/>
      <c r="O5" s="33">
        <f>IFERROR((N5-M5)*K5,0)</f>
      </c>
      <c r="P5" s="37" t="s">
        <v>85</v>
      </c>
      <c r="Q5" s="37" t="s">
        <v>85</v>
      </c>
      <c r="R5" s="37" t="s">
        <v>85</v>
      </c>
      <c r="S5" s="37" t="s">
        <v>85</v>
      </c>
      <c r="T5" s="34">
        <v>0</v>
      </c>
      <c r="U5" s="35">
        <f>ROUND(L5+O5-T5,2)</f>
      </c>
      <c r="V5" s="21">
        <v>0</v>
      </c>
      <c r="W5" s="22">
        <f>(U5-L5)*V5/100000</f>
      </c>
    </row>
    <row r="6" spans="1:23" x14ac:dyDescent="0.25">
      <c r="A6" s="7">
        <v>3</v>
      </c>
      <c r="B6" s="7">
        <f>D6&amp;H6</f>
      </c>
      <c r="C6" s="7" t="s">
        <v>680</v>
      </c>
      <c r="D6" s="7" t="s">
        <v>685</v>
      </c>
      <c r="E6" s="7" t="s">
        <v>44</v>
      </c>
      <c r="F6" s="7">
        <v>1.249</v>
      </c>
      <c r="G6" s="7">
        <v>1.249</v>
      </c>
      <c r="H6" s="7" t="s">
        <v>154</v>
      </c>
      <c r="I6" s="7" t="s">
        <v>46</v>
      </c>
      <c r="J6" s="7" t="s">
        <v>686</v>
      </c>
      <c r="K6" s="8">
        <f>F6*1.06</f>
      </c>
      <c r="L6" s="9">
        <v>737.22</v>
      </c>
      <c r="M6" s="28">
        <v>381</v>
      </c>
      <c r="N6" s="28"/>
      <c r="O6" s="29">
        <f>IFERROR((N6-M6)*K6,0)</f>
      </c>
      <c r="P6" s="36" t="s">
        <v>85</v>
      </c>
      <c r="Q6" s="36" t="s">
        <v>85</v>
      </c>
      <c r="R6" s="36" t="s">
        <v>85</v>
      </c>
      <c r="S6" s="36" t="s">
        <v>85</v>
      </c>
      <c r="T6" s="30">
        <v>0</v>
      </c>
      <c r="U6" s="31">
        <f>ROUND(L6+O6-T6,2)</f>
      </c>
      <c r="V6" s="13">
        <v>0</v>
      </c>
      <c r="W6" s="14">
        <f>(U6-L6)*V6/100000</f>
      </c>
    </row>
    <row r="7" spans="1:23" x14ac:dyDescent="0.25">
      <c r="A7" s="15">
        <v>4</v>
      </c>
      <c r="B7" s="15">
        <f>D7&amp;H7</f>
      </c>
      <c r="C7" s="15" t="s">
        <v>680</v>
      </c>
      <c r="D7" s="15" t="s">
        <v>687</v>
      </c>
      <c r="E7" s="15" t="s">
        <v>688</v>
      </c>
      <c r="F7" s="15">
        <v>0.353</v>
      </c>
      <c r="G7" s="15">
        <v>0.306</v>
      </c>
      <c r="H7" s="15" t="s">
        <v>83</v>
      </c>
      <c r="I7" s="15" t="s">
        <v>71</v>
      </c>
      <c r="J7" s="15" t="s">
        <v>689</v>
      </c>
      <c r="K7" s="16">
        <f>F7*1.06</f>
      </c>
      <c r="L7" s="17">
        <v>249.28</v>
      </c>
      <c r="M7" s="32">
        <v>377</v>
      </c>
      <c r="N7" s="32"/>
      <c r="O7" s="33">
        <f>IFERROR((N7-M7)*K7,0)</f>
      </c>
      <c r="P7" s="32">
        <v>237.76569037656904</v>
      </c>
      <c r="Q7" s="32">
        <v>369</v>
      </c>
      <c r="R7" s="32"/>
      <c r="S7" s="34">
        <f>IFERROR((P7/Q7)*R7,0)</f>
      </c>
      <c r="T7" s="34">
        <f>IFERROR((S7-P7)*((F7-G7)*0.8),0)</f>
      </c>
      <c r="U7" s="35">
        <f>ROUND(L7+O7-T7,2)</f>
      </c>
      <c r="V7" s="21">
        <v>0</v>
      </c>
      <c r="W7" s="22">
        <f>(U7-L7)*V7/100000</f>
      </c>
    </row>
    <row r="8" spans="1:23" x14ac:dyDescent="0.25">
      <c r="A8" s="7">
        <v>5</v>
      </c>
      <c r="B8" s="7">
        <f>D8&amp;H8</f>
      </c>
      <c r="C8" s="7" t="s">
        <v>680</v>
      </c>
      <c r="D8" s="7" t="s">
        <v>690</v>
      </c>
      <c r="E8" s="7" t="s">
        <v>688</v>
      </c>
      <c r="F8" s="7">
        <v>0.384</v>
      </c>
      <c r="G8" s="7">
        <v>0.346</v>
      </c>
      <c r="H8" s="7" t="s">
        <v>83</v>
      </c>
      <c r="I8" s="7" t="s">
        <v>71</v>
      </c>
      <c r="J8" s="7" t="s">
        <v>691</v>
      </c>
      <c r="K8" s="8">
        <f>F8*1.06</f>
      </c>
      <c r="L8" s="9">
        <v>276.98</v>
      </c>
      <c r="M8" s="28">
        <v>377</v>
      </c>
      <c r="N8" s="28"/>
      <c r="O8" s="29">
        <f>IFERROR((N8-M8)*K8,0)</f>
      </c>
      <c r="P8" s="28">
        <v>237.76569037656904</v>
      </c>
      <c r="Q8" s="28">
        <v>369</v>
      </c>
      <c r="R8" s="28"/>
      <c r="S8" s="30">
        <f>IFERROR((P8/Q8)*R8,0)</f>
      </c>
      <c r="T8" s="30">
        <f>IFERROR((S8-P8)*((F8-G8)*0.8),0)</f>
      </c>
      <c r="U8" s="31">
        <f>ROUND(L8+O8-T8,2)</f>
      </c>
      <c r="V8" s="13">
        <v>0</v>
      </c>
      <c r="W8" s="14">
        <f>(U8-L8)*V8/100000</f>
      </c>
    </row>
    <row r="9" spans="1:23" x14ac:dyDescent="0.25">
      <c r="A9" s="15">
        <v>6</v>
      </c>
      <c r="B9" s="15">
        <f>D9&amp;H9</f>
      </c>
      <c r="C9" s="15" t="s">
        <v>680</v>
      </c>
      <c r="D9" s="15" t="s">
        <v>692</v>
      </c>
      <c r="E9" s="15" t="s">
        <v>693</v>
      </c>
      <c r="F9" s="15">
        <v>0.041</v>
      </c>
      <c r="G9" s="15">
        <v>0.041</v>
      </c>
      <c r="H9" s="15" t="s">
        <v>83</v>
      </c>
      <c r="I9" s="15" t="s">
        <v>71</v>
      </c>
      <c r="J9" s="15" t="s">
        <v>694</v>
      </c>
      <c r="K9" s="16">
        <f>F9*1.06</f>
      </c>
      <c r="L9" s="17">
        <v>47.38</v>
      </c>
      <c r="M9" s="32">
        <v>377</v>
      </c>
      <c r="N9" s="32"/>
      <c r="O9" s="33">
        <f>IFERROR((N9-M9)*K9,0)</f>
      </c>
      <c r="P9" s="37" t="s">
        <v>85</v>
      </c>
      <c r="Q9" s="37" t="s">
        <v>85</v>
      </c>
      <c r="R9" s="37" t="s">
        <v>85</v>
      </c>
      <c r="S9" s="37" t="s">
        <v>85</v>
      </c>
      <c r="T9" s="34">
        <v>0</v>
      </c>
      <c r="U9" s="35">
        <f>ROUND(L9+O9-T9,2)</f>
      </c>
      <c r="V9" s="21">
        <v>0</v>
      </c>
      <c r="W9" s="22">
        <f>(U9-L9)*V9/100000</f>
      </c>
    </row>
    <row r="10" spans="1:23" x14ac:dyDescent="0.25">
      <c r="A10" s="7">
        <v>7</v>
      </c>
      <c r="B10" s="7">
        <f>D10&amp;H10</f>
      </c>
      <c r="C10" s="7" t="s">
        <v>680</v>
      </c>
      <c r="D10" s="7" t="s">
        <v>695</v>
      </c>
      <c r="E10" s="7" t="s">
        <v>541</v>
      </c>
      <c r="F10" s="7">
        <v>0.584</v>
      </c>
      <c r="G10" s="7">
        <v>0.55</v>
      </c>
      <c r="H10" s="7" t="s">
        <v>83</v>
      </c>
      <c r="I10" s="7" t="s">
        <v>141</v>
      </c>
      <c r="J10" s="7" t="s">
        <v>696</v>
      </c>
      <c r="K10" s="8">
        <f>F10*1.06</f>
      </c>
      <c r="L10" s="9">
        <v>403.93</v>
      </c>
      <c r="M10" s="28">
        <v>379</v>
      </c>
      <c r="N10" s="28"/>
      <c r="O10" s="29">
        <f>IFERROR((N10-M10)*K10,0)</f>
      </c>
      <c r="P10" s="28">
        <v>237.76569037656904</v>
      </c>
      <c r="Q10" s="28">
        <v>369</v>
      </c>
      <c r="R10" s="28"/>
      <c r="S10" s="30">
        <f>IFERROR((P10/Q10)*R10,0)</f>
      </c>
      <c r="T10" s="30">
        <f>IFERROR((S10-P10)*((F10-G10)*0.8),0)</f>
      </c>
      <c r="U10" s="31">
        <f>ROUND(L10+O10-T10,2)</f>
      </c>
      <c r="V10" s="13">
        <v>0</v>
      </c>
      <c r="W10" s="14">
        <f>(U10-L10)*V10/100000</f>
      </c>
    </row>
    <row r="11" spans="1:23" x14ac:dyDescent="0.25">
      <c r="A11" s="15">
        <v>8</v>
      </c>
      <c r="B11" s="15">
        <f>D11&amp;H11</f>
      </c>
      <c r="C11" s="15" t="s">
        <v>680</v>
      </c>
      <c r="D11" s="15" t="s">
        <v>697</v>
      </c>
      <c r="E11" s="15" t="s">
        <v>187</v>
      </c>
      <c r="F11" s="15">
        <v>0.384</v>
      </c>
      <c r="G11" s="15">
        <v>0.346</v>
      </c>
      <c r="H11" s="15" t="s">
        <v>83</v>
      </c>
      <c r="I11" s="15" t="s">
        <v>71</v>
      </c>
      <c r="J11" s="15" t="s">
        <v>698</v>
      </c>
      <c r="K11" s="16">
        <f>F11*1.06</f>
      </c>
      <c r="L11" s="17">
        <v>275.08</v>
      </c>
      <c r="M11" s="32">
        <v>377</v>
      </c>
      <c r="N11" s="32"/>
      <c r="O11" s="33">
        <f>IFERROR((N11-M11)*K11,0)</f>
      </c>
      <c r="P11" s="32">
        <v>237.76569037656904</v>
      </c>
      <c r="Q11" s="32">
        <v>369</v>
      </c>
      <c r="R11" s="32"/>
      <c r="S11" s="34">
        <f>IFERROR((P11/Q11)*R11,0)</f>
      </c>
      <c r="T11" s="34">
        <f>IFERROR((S11-P11)*((F11-G11)*0.8),0)</f>
      </c>
      <c r="U11" s="35">
        <f>ROUND(L11+O11-T11,2)</f>
      </c>
      <c r="V11" s="21">
        <v>0</v>
      </c>
      <c r="W11" s="22">
        <f>(U11-L11)*V11/100000</f>
      </c>
    </row>
    <row r="12" spans="1:23" x14ac:dyDescent="0.25">
      <c r="A12" s="7">
        <v>9</v>
      </c>
      <c r="B12" s="7">
        <f>D12&amp;H12</f>
      </c>
      <c r="C12" s="7" t="s">
        <v>680</v>
      </c>
      <c r="D12" s="7" t="s">
        <v>699</v>
      </c>
      <c r="E12" s="7" t="s">
        <v>688</v>
      </c>
      <c r="F12" s="7">
        <v>0.353</v>
      </c>
      <c r="G12" s="7">
        <v>0.316</v>
      </c>
      <c r="H12" s="7" t="s">
        <v>83</v>
      </c>
      <c r="I12" s="7" t="s">
        <v>71</v>
      </c>
      <c r="J12" s="7" t="s">
        <v>700</v>
      </c>
      <c r="K12" s="8">
        <f>F12*1.06</f>
      </c>
      <c r="L12" s="9">
        <v>248.42</v>
      </c>
      <c r="M12" s="28">
        <v>377</v>
      </c>
      <c r="N12" s="28"/>
      <c r="O12" s="29">
        <f>IFERROR((N12-M12)*K12,0)</f>
      </c>
      <c r="P12" s="28">
        <v>237.76569037656904</v>
      </c>
      <c r="Q12" s="28">
        <v>369</v>
      </c>
      <c r="R12" s="28"/>
      <c r="S12" s="30">
        <f>IFERROR((P12/Q12)*R12,0)</f>
      </c>
      <c r="T12" s="30">
        <f>IFERROR((S12-P12)*((F12-G12)*0.8),0)</f>
      </c>
      <c r="U12" s="31">
        <f>ROUND(L12+O12-T12,2)</f>
      </c>
      <c r="V12" s="13">
        <v>0</v>
      </c>
      <c r="W12" s="14">
        <f>(U12-L12)*V12/100000</f>
      </c>
    </row>
    <row r="13" spans="1:23" x14ac:dyDescent="0.25">
      <c r="A13" s="15">
        <v>10</v>
      </c>
      <c r="B13" s="15">
        <f>D13&amp;H13</f>
      </c>
      <c r="C13" s="15" t="s">
        <v>680</v>
      </c>
      <c r="D13" s="15" t="s">
        <v>701</v>
      </c>
      <c r="E13" s="15" t="s">
        <v>541</v>
      </c>
      <c r="F13" s="15">
        <v>0.384</v>
      </c>
      <c r="G13" s="15">
        <v>0.346</v>
      </c>
      <c r="H13" s="15" t="s">
        <v>83</v>
      </c>
      <c r="I13" s="15" t="s">
        <v>71</v>
      </c>
      <c r="J13" s="15" t="s">
        <v>702</v>
      </c>
      <c r="K13" s="16">
        <f>F13*1.06</f>
      </c>
      <c r="L13" s="17">
        <v>275.08</v>
      </c>
      <c r="M13" s="32">
        <v>377</v>
      </c>
      <c r="N13" s="32"/>
      <c r="O13" s="33">
        <f>IFERROR((N13-M13)*K13,0)</f>
      </c>
      <c r="P13" s="32">
        <v>237.76569037656904</v>
      </c>
      <c r="Q13" s="32">
        <v>369</v>
      </c>
      <c r="R13" s="32"/>
      <c r="S13" s="34">
        <f>IFERROR((P13/Q13)*R13,0)</f>
      </c>
      <c r="T13" s="34">
        <f>IFERROR((S13-P13)*((F13-G13)*0.8),0)</f>
      </c>
      <c r="U13" s="35">
        <f>ROUND(L13+O13-T13,2)</f>
      </c>
      <c r="V13" s="21">
        <v>0</v>
      </c>
      <c r="W13" s="22">
        <f>(U13-L13)*V13/100000</f>
      </c>
    </row>
    <row r="14" spans="1:23" x14ac:dyDescent="0.25">
      <c r="A14" s="7">
        <v>11</v>
      </c>
      <c r="B14" s="7">
        <f>D14&amp;H14</f>
      </c>
      <c r="C14" s="7" t="s">
        <v>680</v>
      </c>
      <c r="D14" s="7" t="s">
        <v>703</v>
      </c>
      <c r="E14" s="7" t="s">
        <v>187</v>
      </c>
      <c r="F14" s="7">
        <v>0.342</v>
      </c>
      <c r="G14" s="7">
        <v>0.306</v>
      </c>
      <c r="H14" s="7" t="s">
        <v>83</v>
      </c>
      <c r="I14" s="7" t="s">
        <v>71</v>
      </c>
      <c r="J14" s="7" t="s">
        <v>704</v>
      </c>
      <c r="K14" s="8">
        <f>F14*1.06</f>
      </c>
      <c r="L14" s="9">
        <v>273.07</v>
      </c>
      <c r="M14" s="28">
        <v>377</v>
      </c>
      <c r="N14" s="28"/>
      <c r="O14" s="29">
        <f>IFERROR((N14-M14)*K14,0)</f>
      </c>
      <c r="P14" s="28">
        <v>237.76569037656904</v>
      </c>
      <c r="Q14" s="28">
        <v>369</v>
      </c>
      <c r="R14" s="28"/>
      <c r="S14" s="30">
        <f>IFERROR((P14/Q14)*R14,0)</f>
      </c>
      <c r="T14" s="30">
        <f>IFERROR((S14-P14)*((F14-G14)*0.8),0)</f>
      </c>
      <c r="U14" s="31">
        <f>ROUND(L14+O14-T14,2)</f>
      </c>
      <c r="V14" s="13">
        <v>0</v>
      </c>
      <c r="W14" s="14">
        <f>(U14-L14)*V14/100000</f>
      </c>
    </row>
    <row r="15" spans="1:23" x14ac:dyDescent="0.25">
      <c r="A15" s="15">
        <v>12</v>
      </c>
      <c r="B15" s="15">
        <f>D15&amp;H15</f>
      </c>
      <c r="C15" s="15" t="s">
        <v>680</v>
      </c>
      <c r="D15" s="15" t="s">
        <v>705</v>
      </c>
      <c r="E15" s="15" t="s">
        <v>44</v>
      </c>
      <c r="F15" s="15">
        <v>0.595</v>
      </c>
      <c r="G15" s="15">
        <v>0.561</v>
      </c>
      <c r="H15" s="15" t="s">
        <v>83</v>
      </c>
      <c r="I15" s="15" t="s">
        <v>141</v>
      </c>
      <c r="J15" s="15" t="s">
        <v>706</v>
      </c>
      <c r="K15" s="16">
        <f>F15*1.06</f>
      </c>
      <c r="L15" s="17">
        <v>411.21</v>
      </c>
      <c r="M15" s="32">
        <v>379</v>
      </c>
      <c r="N15" s="32"/>
      <c r="O15" s="33">
        <f>IFERROR((N15-M15)*K15,0)</f>
      </c>
      <c r="P15" s="32">
        <v>237.76569037656904</v>
      </c>
      <c r="Q15" s="32">
        <v>369</v>
      </c>
      <c r="R15" s="32"/>
      <c r="S15" s="34">
        <f>IFERROR((P15/Q15)*R15,0)</f>
      </c>
      <c r="T15" s="34">
        <f>IFERROR((S15-P15)*((F15-G15)*0.8),0)</f>
      </c>
      <c r="U15" s="35">
        <f>ROUND(L15+O15-T15,2)</f>
      </c>
      <c r="V15" s="21">
        <v>0</v>
      </c>
      <c r="W15" s="22">
        <f>(U15-L15)*V15/100000</f>
      </c>
    </row>
    <row r="16" spans="1:23" x14ac:dyDescent="0.25">
      <c r="A16" s="7">
        <v>13</v>
      </c>
      <c r="B16" s="7">
        <f>D16&amp;H16</f>
      </c>
      <c r="C16" s="7" t="s">
        <v>680</v>
      </c>
      <c r="D16" s="7" t="s">
        <v>707</v>
      </c>
      <c r="E16" s="7" t="s">
        <v>44</v>
      </c>
      <c r="F16" s="7">
        <v>0.354</v>
      </c>
      <c r="G16" s="7">
        <v>0.31</v>
      </c>
      <c r="H16" s="7" t="s">
        <v>83</v>
      </c>
      <c r="I16" s="7" t="s">
        <v>71</v>
      </c>
      <c r="J16" s="7" t="s">
        <v>708</v>
      </c>
      <c r="K16" s="8">
        <f>F16*1.06</f>
      </c>
      <c r="L16" s="9">
        <v>247.99</v>
      </c>
      <c r="M16" s="28">
        <v>377</v>
      </c>
      <c r="N16" s="28"/>
      <c r="O16" s="29">
        <f>IFERROR((N16-M16)*K16,0)</f>
      </c>
      <c r="P16" s="28">
        <v>237.76569037656904</v>
      </c>
      <c r="Q16" s="28">
        <v>369</v>
      </c>
      <c r="R16" s="28"/>
      <c r="S16" s="30">
        <f>IFERROR((P16/Q16)*R16,0)</f>
      </c>
      <c r="T16" s="30">
        <f>IFERROR((S16-P16)*((F16-G16)*0.8),0)</f>
      </c>
      <c r="U16" s="31">
        <f>ROUND(L16+O16-T16,2)</f>
      </c>
      <c r="V16" s="13">
        <v>0</v>
      </c>
      <c r="W16" s="14">
        <f>(U16-L16)*V16/100000</f>
      </c>
    </row>
    <row r="17" spans="1:23" x14ac:dyDescent="0.25">
      <c r="A17" s="25" t="s">
        <v>122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>
        <f>SUM(V4:V16)</f>
      </c>
      <c r="W17" s="27">
        <f>SUM(W4:W16)</f>
      </c>
    </row>
  </sheetData>
  <autoFilter ref="A3:W16"/>
  <mergeCells count="3">
    <mergeCell ref="A1:W1"/>
    <mergeCell ref="A2:D2"/>
    <mergeCell ref="A17:U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250043_Q2'26</vt:lpstr>
      <vt:lpstr>250043_Q3'26</vt:lpstr>
      <vt:lpstr>250044_Q2'26</vt:lpstr>
      <vt:lpstr>250044_Q3'26</vt:lpstr>
      <vt:lpstr>250050_Q2'26</vt:lpstr>
      <vt:lpstr>250050_Q3'26</vt:lpstr>
      <vt:lpstr>250197_Q2'26</vt:lpstr>
      <vt:lpstr>250197_Q3'26</vt:lpstr>
      <vt:lpstr>250274_Q2'26</vt:lpstr>
      <vt:lpstr>250274_Q3'26</vt:lpstr>
      <vt:lpstr>250482_Q2'26</vt:lpstr>
      <vt:lpstr>250482_Q3'26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Pricing</dc:creator>
  <dc:title/>
  <dc:subject/>
  <dc:description/>
  <cp:keywords/>
  <cp:category/>
  <cp:lastModifiedBy>Unknown</cp:lastModifiedBy>
  <dcterms:created xsi:type="dcterms:W3CDTF">2026-06-15T15:50:30Z</dcterms:created>
  <dcterms:modified xsi:type="dcterms:W3CDTF">2026-06-15T15:50:30Z</dcterms:modified>
</cp:coreProperties>
</file>